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miliocaldas/Downloads/Economía y negocios/Nutrición/Finanza Personal/Ciencia de Datos/Modulo Excel/"/>
    </mc:Choice>
  </mc:AlternateContent>
  <xr:revisionPtr revIDLastSave="0" documentId="13_ncr:1_{11FAEF1C-E56F-254D-AA48-93A4EB993CCB}" xr6:coauthVersionLast="47" xr6:coauthVersionMax="47" xr10:uidLastSave="{00000000-0000-0000-0000-000000000000}"/>
  <bookViews>
    <workbookView xWindow="0" yWindow="600" windowWidth="28800" windowHeight="16160" xr2:uid="{707CFE88-00A9-BE4A-B194-CFF8A6A69F06}"/>
  </bookViews>
  <sheets>
    <sheet name="DASHBOARD" sheetId="4" r:id="rId1"/>
    <sheet name="Datos_Ventas_Online" sheetId="2" r:id="rId2"/>
    <sheet name="Hoja1" sheetId="1" r:id="rId3"/>
  </sheets>
  <definedNames>
    <definedName name="DatosExternos_1" localSheetId="1" hidden="1">Datos_Ventas_Online!$A$1:$N$165</definedName>
    <definedName name="NativeTimeline_Fecha_Pedido">#N/A</definedName>
    <definedName name="SegmentaciónDeDatos_Ciudad">#N/A</definedName>
  </definedNames>
  <calcPr calcId="191029"/>
  <pivotCaches>
    <pivotCache cacheId="6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2" i="4" l="1"/>
  <c r="B70" i="4"/>
  <c r="C7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08383-5E29-114B-993E-A7A396D8AB04}" keepAlive="1" name="Consulta - Datos_Ventas_Online" description="Conexión a la consulta 'Datos_Ventas_Online' en el libro." type="5" refreshedVersion="8" background="1" saveData="1">
    <dbPr connection="Provider=Microsoft.Mashup.OleDb.1;Data Source=$Workbook$;Location=Datos_Ventas_Online;Extended Properties=&quot;&quot;" command="SELECT * FROM [Datos_Ventas_Online]"/>
  </connection>
</connections>
</file>

<file path=xl/sharedStrings.xml><?xml version="1.0" encoding="utf-8"?>
<sst xmlns="http://schemas.openxmlformats.org/spreadsheetml/2006/main" count="1571" uniqueCount="300">
  <si>
    <t>ID_Pedido</t>
  </si>
  <si>
    <t>Fecha_Pedido</t>
  </si>
  <si>
    <t>Cliente</t>
  </si>
  <si>
    <t>Correo_Electronico</t>
  </si>
  <si>
    <t>Ciudad</t>
  </si>
  <si>
    <t>Pais</t>
  </si>
  <si>
    <t>Categoria_Producto</t>
  </si>
  <si>
    <t>Producto</t>
  </si>
  <si>
    <t>Cantidad</t>
  </si>
  <si>
    <t>Precio_Unitario</t>
  </si>
  <si>
    <t>Metodo_Pago</t>
  </si>
  <si>
    <t>Estado_Pedido</t>
  </si>
  <si>
    <t>PEDRO PABLO GOMEZ</t>
  </si>
  <si>
    <t>pedro.gomez36@outlook.com</t>
  </si>
  <si>
    <t>RIOBAMBA</t>
  </si>
  <si>
    <t>ECUADOR</t>
  </si>
  <si>
    <t>BELLEZA</t>
  </si>
  <si>
    <t>SECADOR DE CABELLO</t>
  </si>
  <si>
    <t>PAYPAL</t>
  </si>
  <si>
    <t>DEVUELTO</t>
  </si>
  <si>
    <t>ANA SOFIA TORRES</t>
  </si>
  <si>
    <t>ana.torres58@yahoo.com</t>
  </si>
  <si>
    <t>PORTOVIEJO</t>
  </si>
  <si>
    <t>LIBROS</t>
  </si>
  <si>
    <t>LIBRO DE COCINA</t>
  </si>
  <si>
    <t>TARJETA DE CREDITO</t>
  </si>
  <si>
    <t>DANIELA FERNANDA VEGA</t>
  </si>
  <si>
    <t>AMBATO</t>
  </si>
  <si>
    <t>HOGAR</t>
  </si>
  <si>
    <t>CORTINA</t>
  </si>
  <si>
    <t>CANCELADO</t>
  </si>
  <si>
    <t>pedro.gomez127@yahoo.com</t>
  </si>
  <si>
    <t>QUITO</t>
  </si>
  <si>
    <t>ROPA</t>
  </si>
  <si>
    <t>VESTIDO CASUAL</t>
  </si>
  <si>
    <t>TRANSFERENCIA BANCARIA</t>
  </si>
  <si>
    <t>EN PROCESO</t>
  </si>
  <si>
    <t>MARIA JOSE SANCHEZ</t>
  </si>
  <si>
    <t>maria.sanchez150@yahoo.com</t>
  </si>
  <si>
    <t>SANTIAGO NICOLAS ORTIZ</t>
  </si>
  <si>
    <t>santiago.ortiz161@gmail.com</t>
  </si>
  <si>
    <t>ELECTRODOMESTICOS</t>
  </si>
  <si>
    <t>PLANCHA</t>
  </si>
  <si>
    <t>JUAN CARLOS PEREZ</t>
  </si>
  <si>
    <t>juan.perez15@gmail.com</t>
  </si>
  <si>
    <t>GUAYAQUIL</t>
  </si>
  <si>
    <t>LIBRO DE AUTOAYUDA</t>
  </si>
  <si>
    <t>PENDIENTE</t>
  </si>
  <si>
    <t>ALEJANDRO JOSE REYES</t>
  </si>
  <si>
    <t>alejandro.reyes62@gmail.com</t>
  </si>
  <si>
    <t>DURAN</t>
  </si>
  <si>
    <t>ELECTRONICA</t>
  </si>
  <si>
    <t>PARLANTE PORTATIL</t>
  </si>
  <si>
    <t>EFECTIVO</t>
  </si>
  <si>
    <t>MIGUEL ANGEL CHAVEZ</t>
  </si>
  <si>
    <t>miguel.chavez39@outlook.com</t>
  </si>
  <si>
    <t>ALIMENTOS</t>
  </si>
  <si>
    <t>CAFE ORGANICO 500G</t>
  </si>
  <si>
    <t>GABRIELA ANTONELLA PAZ</t>
  </si>
  <si>
    <t>gabriela.paz140@hotmail.com</t>
  </si>
  <si>
    <t>MACHALA</t>
  </si>
  <si>
    <t>JUGUETES</t>
  </si>
  <si>
    <t>SET DE BLOQUES</t>
  </si>
  <si>
    <t>VALERIA XIMENA CRUZ</t>
  </si>
  <si>
    <t>valeria.cruz3@gmail.com</t>
  </si>
  <si>
    <t>MOUSE INALAMBRICO</t>
  </si>
  <si>
    <t>RENATA SOFIA GUZMAN</t>
  </si>
  <si>
    <t>renata.guzman162@gmail.com</t>
  </si>
  <si>
    <t>DEPORTES</t>
  </si>
  <si>
    <t>GUANTES DE BOXEO</t>
  </si>
  <si>
    <t>CREMA FACIAL</t>
  </si>
  <si>
    <t>ENTREGADO</t>
  </si>
  <si>
    <t>EMILIANO RAFAEL NUNEZ</t>
  </si>
  <si>
    <t>MIEL DE ABEJA</t>
  </si>
  <si>
    <t>PAGO CONTRA ENTREGA</t>
  </si>
  <si>
    <t>VALENTINA ISABEL ROJAS</t>
  </si>
  <si>
    <t>valentina.rojas151@outlook.com</t>
  </si>
  <si>
    <t>IBARRA</t>
  </si>
  <si>
    <t>PAULA ANDREA SALAZAR</t>
  </si>
  <si>
    <t>paula.salazar124@outlook.com</t>
  </si>
  <si>
    <t>SMARTWATCH</t>
  </si>
  <si>
    <t>gabriela.paz44@hotmail.com</t>
  </si>
  <si>
    <t>CHAQUETA IMPERMEABLE</t>
  </si>
  <si>
    <t>DIEGO ALEJANDRO CASTRO</t>
  </si>
  <si>
    <t>diego.castro24@outlook.com</t>
  </si>
  <si>
    <t>diego.castro73@outlook.com</t>
  </si>
  <si>
    <t>SANTO DOMINGO</t>
  </si>
  <si>
    <t>COLCHONETA YOGA</t>
  </si>
  <si>
    <t>maria.sanchez40@gmail.com</t>
  </si>
  <si>
    <t>miguel.chavez14@hotmail.com</t>
  </si>
  <si>
    <t>paula.salazar134@hotmail.com</t>
  </si>
  <si>
    <t>CALZADO</t>
  </si>
  <si>
    <t>ZAPATOS FORMALES</t>
  </si>
  <si>
    <t>JOSE LUIS MARTINEZ</t>
  </si>
  <si>
    <t>jose.martinez25@gmail.com</t>
  </si>
  <si>
    <t>SAMUEL DAVID CORDERO</t>
  </si>
  <si>
    <t>samuel.cordero109@hotmail.com</t>
  </si>
  <si>
    <t>CARGADOR USB-C</t>
  </si>
  <si>
    <t>ANDRES FELIPE VARGAS</t>
  </si>
  <si>
    <t>andres.vargas67@outlook.com</t>
  </si>
  <si>
    <t>gabriela.paz56@hotmail.com</t>
  </si>
  <si>
    <t>SARA DANIELA JIMENEZ</t>
  </si>
  <si>
    <t>sara.jimenez178@gmail.com</t>
  </si>
  <si>
    <t>LOJA</t>
  </si>
  <si>
    <t>jose.martinez184@yahoo.com</t>
  </si>
  <si>
    <t>miguel.chavez23@yahoo.com</t>
  </si>
  <si>
    <t>LICUADORA</t>
  </si>
  <si>
    <t>diego.castro121@yahoo.com</t>
  </si>
  <si>
    <t>BICICLETA ESTATICA</t>
  </si>
  <si>
    <t>alejandro.reyes116@outlook.com</t>
  </si>
  <si>
    <t>MATEO DAVID HERRERA</t>
  </si>
  <si>
    <t>mateo.herrera159@gmail.com</t>
  </si>
  <si>
    <t>juan.perez49@gmail.com</t>
  </si>
  <si>
    <t>SNACK SALUDABLE</t>
  </si>
  <si>
    <t>MARTINA LUCIA FUENTES</t>
  </si>
  <si>
    <t>martina.fuentes135@gmail.com</t>
  </si>
  <si>
    <t>MANTA</t>
  </si>
  <si>
    <t>PELUCHE GRANDE</t>
  </si>
  <si>
    <t>TOMAS IGNACIO AGUILAR</t>
  </si>
  <si>
    <t>tomas.aguilar2@yahoo.com</t>
  </si>
  <si>
    <t>BOTAS DE CUERO</t>
  </si>
  <si>
    <t>valeria.cruz170@outlook.com</t>
  </si>
  <si>
    <t>miguel.chavez20@hotmail.com</t>
  </si>
  <si>
    <t>NICOLAS ESTEBAN SILVA</t>
  </si>
  <si>
    <t>nicolas.silva41@yahoo.com</t>
  </si>
  <si>
    <t>martina.fuentes90@outlook.com</t>
  </si>
  <si>
    <t>VENTILADOR</t>
  </si>
  <si>
    <t>sara.jimenez137@outlook.com</t>
  </si>
  <si>
    <t>SET DE TOALLAS</t>
  </si>
  <si>
    <t>MARIA FERNANDA LOPEZ</t>
  </si>
  <si>
    <t>maria.lopez138@yahoo.com</t>
  </si>
  <si>
    <t>jose.martinez87@yahoo.com</t>
  </si>
  <si>
    <t>SHAMPOO REPARADOR</t>
  </si>
  <si>
    <t>maria.sanchez60@yahoo.com</t>
  </si>
  <si>
    <t>maria.lopez75@yahoo.com</t>
  </si>
  <si>
    <t>PERFUME 100ML</t>
  </si>
  <si>
    <t>SEBASTIAN CAMILO RIOS</t>
  </si>
  <si>
    <t>sebastian.rios143@hotmail.com</t>
  </si>
  <si>
    <t>ESMERALDAS</t>
  </si>
  <si>
    <t>LAMPARA DE MESA</t>
  </si>
  <si>
    <t>ana.torres148@outlook.com</t>
  </si>
  <si>
    <t>PANTALON JEAN</t>
  </si>
  <si>
    <t>diego.castro115@outlook.com</t>
  </si>
  <si>
    <t>CUENCA</t>
  </si>
  <si>
    <t>sebastian.rios139@yahoo.com</t>
  </si>
  <si>
    <t>TENIS URBANOS</t>
  </si>
  <si>
    <t>alejandro.reyes103@outlook.com</t>
  </si>
  <si>
    <t>NOVELA BEST SELLER</t>
  </si>
  <si>
    <t>samuel.cordero174@outlook.com</t>
  </si>
  <si>
    <t>MICROONDAS</t>
  </si>
  <si>
    <t>ISABELLA SOFIA MENDEZ</t>
  </si>
  <si>
    <t>isabella.mendez94@gmail.com</t>
  </si>
  <si>
    <t>pedro.gomez7@gmail.com</t>
  </si>
  <si>
    <t>SET DE MAQUILLAJE</t>
  </si>
  <si>
    <t>andres.vargas145@yahoo.com</t>
  </si>
  <si>
    <t>CUENTO INFANTIL</t>
  </si>
  <si>
    <t>renata.guzman26@hotmail.com</t>
  </si>
  <si>
    <t>ANTONELLA MARIA SOTO</t>
  </si>
  <si>
    <t>antonella.soto18@yahoo.com</t>
  </si>
  <si>
    <t>emiliano.nunez130@hotmail.com</t>
  </si>
  <si>
    <t>juan.perez22@gmail.com</t>
  </si>
  <si>
    <t>paula.salazar120@yahoo.com</t>
  </si>
  <si>
    <t>ORGANIZADOR PLASTICO</t>
  </si>
  <si>
    <t>mateo.herrera59@yahoo.com</t>
  </si>
  <si>
    <t>gabriela.paz163@gmail.com</t>
  </si>
  <si>
    <t>gabriela.paz47@hotmail.com</t>
  </si>
  <si>
    <t>CAMILA ANDREA MORENO</t>
  </si>
  <si>
    <t>camila.moreno166@hotmail.com</t>
  </si>
  <si>
    <t>CARRO A CONTROL REMOTO</t>
  </si>
  <si>
    <t>santiago.ortiz136@outlook.com</t>
  </si>
  <si>
    <t>samuel.cordero66@outlook.com</t>
  </si>
  <si>
    <t>antonella.soto65@hotmail.com</t>
  </si>
  <si>
    <t>alejandro.reyes28@outlook.com</t>
  </si>
  <si>
    <t>ROMPECABEZAS 500 PIEZAS</t>
  </si>
  <si>
    <t>LAURA VALENTINA DIAZ</t>
  </si>
  <si>
    <t>laura.diaz12@yahoo.com</t>
  </si>
  <si>
    <t>ana.torres158@outlook.com</t>
  </si>
  <si>
    <t>TE PREMIUM</t>
  </si>
  <si>
    <t>miguel.chavez165@outlook.com</t>
  </si>
  <si>
    <t>valeria.cruz55@outlook.com</t>
  </si>
  <si>
    <t>ZAPATILLAS RUNNING</t>
  </si>
  <si>
    <t>isabella.mendez72@outlook.com</t>
  </si>
  <si>
    <t>martina.fuentes5@gmail.com</t>
  </si>
  <si>
    <t>jose.martinez78@yahoo.com</t>
  </si>
  <si>
    <t>diego.castro21@gmail.com</t>
  </si>
  <si>
    <t>isabella.mendez144@hotmail.com</t>
  </si>
  <si>
    <t>renata.guzman31@hotmail.com</t>
  </si>
  <si>
    <t>JUEGO DE SABANAS</t>
  </si>
  <si>
    <t>mateo.herrera13@gmail.com</t>
  </si>
  <si>
    <t>CAMISETA ALGODON</t>
  </si>
  <si>
    <t>gabriela.paz10@gmail.com</t>
  </si>
  <si>
    <t>alejandro.reyes113@yahoo.com</t>
  </si>
  <si>
    <t>tomas.aguilar105@gmail.com</t>
  </si>
  <si>
    <t>laura.diaz155@outlook.com</t>
  </si>
  <si>
    <t>martina.fuentes89@gmail.com</t>
  </si>
  <si>
    <t>antonella.soto131@gmail.com</t>
  </si>
  <si>
    <t>MUNECA INTERACTIVA</t>
  </si>
  <si>
    <t>jose.martinez4@gmail.com</t>
  </si>
  <si>
    <t>antonella.soto69@outlook.com</t>
  </si>
  <si>
    <t>CHOCOLATE ARTESANAL</t>
  </si>
  <si>
    <t>andres.vargas172@outlook.com</t>
  </si>
  <si>
    <t>daniela.vega169@hotmail.com</t>
  </si>
  <si>
    <t>emiliano.nunez132@yahoo.com</t>
  </si>
  <si>
    <t>andres.vargas141@gmail.com</t>
  </si>
  <si>
    <t>isabella.mendez61@outlook.com</t>
  </si>
  <si>
    <t>mateo.herrera57@yahoo.com</t>
  </si>
  <si>
    <t>ana.torres9@gmail.com</t>
  </si>
  <si>
    <t>gabriela.paz48@yahoo.com</t>
  </si>
  <si>
    <t>paula.salazar129@gmail.com</t>
  </si>
  <si>
    <t>gabriela.paz91@yahoo.com</t>
  </si>
  <si>
    <t>camila.moreno171@yahoo.com</t>
  </si>
  <si>
    <t>santiago.ortiz154@gmail.com</t>
  </si>
  <si>
    <t>SANDALIAS</t>
  </si>
  <si>
    <t>renata.guzman32@yahoo.com</t>
  </si>
  <si>
    <t>juan.perez30@yahoo.com</t>
  </si>
  <si>
    <t>jose.martinez38@hotmail.com</t>
  </si>
  <si>
    <t>renata.guzman142@gmail.com</t>
  </si>
  <si>
    <t>ana.torres17@gmail.com</t>
  </si>
  <si>
    <t>AUDIFONOS BLUETOOTH</t>
  </si>
  <si>
    <t>valeria.cruz168@hotmail.com</t>
  </si>
  <si>
    <t>maria.sanchez86@gmail.com</t>
  </si>
  <si>
    <t>gabriela.paz104@hotmail.com</t>
  </si>
  <si>
    <t>emiliano.nunez8@gmail.com</t>
  </si>
  <si>
    <t>gabriela.paz88@outlook.com</t>
  </si>
  <si>
    <t>andres.vargas106@hotmail.com</t>
  </si>
  <si>
    <t>miguel.chavez179@outlook.com</t>
  </si>
  <si>
    <t>pedro.gomez102@gmail.com</t>
  </si>
  <si>
    <t>daniela.vega153@hotmail.com</t>
  </si>
  <si>
    <t>valeria.cruz53@gmail.com</t>
  </si>
  <si>
    <t>diego.castro118@hotmail.com</t>
  </si>
  <si>
    <t>paula.salazar6@outlook.com</t>
  </si>
  <si>
    <t>emiliano.nunez46@hotmail.com</t>
  </si>
  <si>
    <t>samuel.cordero147@yahoo.com</t>
  </si>
  <si>
    <t>ana.torres29@gmail.com</t>
  </si>
  <si>
    <t>maria.sanchez100@hotmail.com</t>
  </si>
  <si>
    <t>ana.torres71@hotmail.com</t>
  </si>
  <si>
    <t>MANCUERNAS 5KG</t>
  </si>
  <si>
    <t>renata.guzman96@yahoo.com</t>
  </si>
  <si>
    <t>maria.lopez83@hotmail.com</t>
  </si>
  <si>
    <t>pedro.gomez125@hotmail.com</t>
  </si>
  <si>
    <t>isabella.mendez81@outlook.com</t>
  </si>
  <si>
    <t>BALON DE FUTBOL</t>
  </si>
  <si>
    <t>maria.sanchez164@yahoo.com</t>
  </si>
  <si>
    <t>tomas.aguilar45@yahoo.com</t>
  </si>
  <si>
    <t>emiliano.nunez80@outlook.com</t>
  </si>
  <si>
    <t>jose.martinez122@outlook.com</t>
  </si>
  <si>
    <t>SUDADERA</t>
  </si>
  <si>
    <t>diego.castro51@outlook.com</t>
  </si>
  <si>
    <t>paula.salazar167@outlook.com</t>
  </si>
  <si>
    <t>isabella.mendez110@outlook.com</t>
  </si>
  <si>
    <t>martina.fuentes156@gmail.com</t>
  </si>
  <si>
    <t>daniela.vega112@outlook.com</t>
  </si>
  <si>
    <t>paula.salazar84@yahoo.com</t>
  </si>
  <si>
    <t>andres.vargas85@gmail.com</t>
  </si>
  <si>
    <t>pedro.gomez101@outlook.com</t>
  </si>
  <si>
    <t>maria.lopez1@yahoo.com</t>
  </si>
  <si>
    <t>sara.jimenez182@hotmail.com</t>
  </si>
  <si>
    <t>maria.sanchez34@hotmail.com</t>
  </si>
  <si>
    <t>laura.diaz27@outlook.com</t>
  </si>
  <si>
    <t>maria.sanchez50@outlook.com</t>
  </si>
  <si>
    <t>sebastian.rios157@yahoo.com</t>
  </si>
  <si>
    <t>paula.salazar152@hotmail.com</t>
  </si>
  <si>
    <t>antonella.soto160@outlook.com</t>
  </si>
  <si>
    <t>CARLOS ANDRES RUIZ</t>
  </si>
  <si>
    <t>carlos.ruiz63@outlook.com</t>
  </si>
  <si>
    <t>maria.lopez64@gmail.com</t>
  </si>
  <si>
    <t>nicolas.silva92@hotmail.com</t>
  </si>
  <si>
    <t>nicolas.silva19@hotmail.com</t>
  </si>
  <si>
    <t>camila.moreno123@outlook.com</t>
  </si>
  <si>
    <t>miguel.chavez76@hotmail.com</t>
  </si>
  <si>
    <t>emiliano.nunez107@gmail.com</t>
  </si>
  <si>
    <t>daniela.vega70@hotmail.com</t>
  </si>
  <si>
    <t>renata.guzman111@yahoo.com</t>
  </si>
  <si>
    <t>martina.fuentes16@gmail.com</t>
  </si>
  <si>
    <t>mateo.herrera37@yahoo.com</t>
  </si>
  <si>
    <t>martina.fuentes126@outlook.com</t>
  </si>
  <si>
    <t>diego.castro183@yahoo.com</t>
  </si>
  <si>
    <t>paula.salazar77@yahoo.com</t>
  </si>
  <si>
    <t>martina.fuentes68@outlook.com</t>
  </si>
  <si>
    <t>santiago.ortiz35@hotmail.com</t>
  </si>
  <si>
    <t>maria.lopez175@outlook.com</t>
  </si>
  <si>
    <t>maria.sanchez43@yahoo.com</t>
  </si>
  <si>
    <t>jose.martinez133@yahoo.com</t>
  </si>
  <si>
    <t>tomas.aguilar146@outlook.com</t>
  </si>
  <si>
    <t>Correo_Valido</t>
  </si>
  <si>
    <t>SI</t>
  </si>
  <si>
    <t>Etiquetas de fila</t>
  </si>
  <si>
    <t>Total general</t>
  </si>
  <si>
    <t>Suma de Cantidad</t>
  </si>
  <si>
    <t>Ingreso</t>
  </si>
  <si>
    <t>Suma de Ingreso</t>
  </si>
  <si>
    <t>Cuenta de Estado_Pedido</t>
  </si>
  <si>
    <t>2024</t>
  </si>
  <si>
    <t>2025</t>
  </si>
  <si>
    <t>Trim.1</t>
  </si>
  <si>
    <t>Trim.2</t>
  </si>
  <si>
    <t>Trim.3</t>
  </si>
  <si>
    <t>Trim.4</t>
  </si>
  <si>
    <t>Promedio de Ingreso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</si>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</sst>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44" fontId="0" fillId="0" borderId="0" xfId="1" applyFont="1"/>
    <xf numFmtId="0" fontId="0" fillId="0" borderId="0" xfId="0" applyNumberFormat="1"/>
    <xf numFmtId="0" fontId="2" fillId="0" borderId="0" xfId="0" applyFont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"/>
    </dxf>
    <dxf>
      <numFmt numFmtId="34" formatCode="_ &quot;$&quot;* #,##0.00_ ;_ &quot;$&quot;* \-#,##0.00_ ;_ &quot;$&quot;* &quot;-&quot;??_ ;_ @_ "/>
    </dxf>
    <dxf>
      <numFmt numFmtId="14" formatCode="0.00%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  <dxf>
      <numFmt numFmtId="34" formatCode="_ &quot;$&quot;* #,##0.00_ ;_ &quot;$&quot;* \-#,##0.00_ ;_ &quot;$&quot;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2Excel .xlsx]DASHBOARD!Q_Vendida_Ciudad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accent2"/>
                </a:solidFill>
              </a:rPr>
              <a:t>Cantidad vendida x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DASHBOARD!$A$9:$A$22</c:f>
              <c:strCache>
                <c:ptCount val="13"/>
                <c:pt idx="0">
                  <c:v>MACHALA</c:v>
                </c:pt>
                <c:pt idx="1">
                  <c:v>ESMERALDAS</c:v>
                </c:pt>
                <c:pt idx="2">
                  <c:v>LOJA</c:v>
                </c:pt>
                <c:pt idx="3">
                  <c:v>AMBATO</c:v>
                </c:pt>
                <c:pt idx="4">
                  <c:v>RIOBAMBA</c:v>
                </c:pt>
                <c:pt idx="5">
                  <c:v>PORTOVIEJO</c:v>
                </c:pt>
                <c:pt idx="6">
                  <c:v>IBARRA</c:v>
                </c:pt>
                <c:pt idx="7">
                  <c:v>SANTO DOMINGO</c:v>
                </c:pt>
                <c:pt idx="8">
                  <c:v>DURAN</c:v>
                </c:pt>
                <c:pt idx="9">
                  <c:v>MANTA</c:v>
                </c:pt>
                <c:pt idx="10">
                  <c:v>CUENCA</c:v>
                </c:pt>
                <c:pt idx="11">
                  <c:v>QUITO</c:v>
                </c:pt>
                <c:pt idx="12">
                  <c:v>GUAYAQUIL</c:v>
                </c:pt>
              </c:strCache>
            </c:strRef>
          </c:cat>
          <c:val>
            <c:numRef>
              <c:f>DASHBOARD!$B$9:$B$22</c:f>
              <c:numCache>
                <c:formatCode>General</c:formatCode>
                <c:ptCount val="13"/>
                <c:pt idx="0">
                  <c:v>13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21</c:v>
                </c:pt>
                <c:pt idx="5">
                  <c:v>24</c:v>
                </c:pt>
                <c:pt idx="6">
                  <c:v>27</c:v>
                </c:pt>
                <c:pt idx="7">
                  <c:v>30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37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C-6240-80E5-E59B2FD7A8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57972927"/>
        <c:axId val="224888575"/>
      </c:barChart>
      <c:catAx>
        <c:axId val="157972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24888575"/>
        <c:crosses val="autoZero"/>
        <c:auto val="1"/>
        <c:lblAlgn val="ctr"/>
        <c:lblOffset val="100"/>
        <c:noMultiLvlLbl val="0"/>
      </c:catAx>
      <c:valAx>
        <c:axId val="2248885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97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2Excel .xlsx]DASHBOARD!Ingreso_Ciudad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accent2"/>
                </a:solidFill>
              </a:rPr>
              <a:t>Ingresos</a:t>
            </a:r>
            <a:r>
              <a:rPr lang="en-US" sz="2800" baseline="0">
                <a:solidFill>
                  <a:schemeClr val="accent2"/>
                </a:solidFill>
              </a:rPr>
              <a:t> x ciudad</a:t>
            </a:r>
            <a:endParaRPr lang="en-US" sz="2800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DASHBOARD!$A$25:$A$38</c:f>
              <c:strCache>
                <c:ptCount val="13"/>
                <c:pt idx="0">
                  <c:v>LOJA</c:v>
                </c:pt>
                <c:pt idx="1">
                  <c:v>DURAN</c:v>
                </c:pt>
                <c:pt idx="2">
                  <c:v>GUAYAQUIL</c:v>
                </c:pt>
                <c:pt idx="3">
                  <c:v>CUENCA</c:v>
                </c:pt>
                <c:pt idx="4">
                  <c:v>AMBATO</c:v>
                </c:pt>
                <c:pt idx="5">
                  <c:v>RIOBAMBA</c:v>
                </c:pt>
                <c:pt idx="6">
                  <c:v>MACHALA</c:v>
                </c:pt>
                <c:pt idx="7">
                  <c:v>ESMERALDAS</c:v>
                </c:pt>
                <c:pt idx="8">
                  <c:v>PORTOVIEJO</c:v>
                </c:pt>
                <c:pt idx="9">
                  <c:v>IBARRA</c:v>
                </c:pt>
                <c:pt idx="10">
                  <c:v>QUITO</c:v>
                </c:pt>
                <c:pt idx="11">
                  <c:v>MANTA</c:v>
                </c:pt>
                <c:pt idx="12">
                  <c:v>SANTO DOMINGO</c:v>
                </c:pt>
              </c:strCache>
            </c:strRef>
          </c:cat>
          <c:val>
            <c:numRef>
              <c:f>DASHBOARD!$B$25:$B$38</c:f>
              <c:numCache>
                <c:formatCode>_("$"* #,##0.00_);_("$"* \(#,##0.00\);_("$"* "-"??_);_(@_)</c:formatCode>
                <c:ptCount val="13"/>
                <c:pt idx="0">
                  <c:v>1661.24</c:v>
                </c:pt>
                <c:pt idx="1">
                  <c:v>3837.2400000000007</c:v>
                </c:pt>
                <c:pt idx="2">
                  <c:v>4307.82</c:v>
                </c:pt>
                <c:pt idx="3">
                  <c:v>5997.41</c:v>
                </c:pt>
                <c:pt idx="4">
                  <c:v>6830.59</c:v>
                </c:pt>
                <c:pt idx="5">
                  <c:v>10495.26</c:v>
                </c:pt>
                <c:pt idx="6">
                  <c:v>23195.03</c:v>
                </c:pt>
                <c:pt idx="7">
                  <c:v>34709.910000000003</c:v>
                </c:pt>
                <c:pt idx="8">
                  <c:v>40853.43</c:v>
                </c:pt>
                <c:pt idx="9">
                  <c:v>43249.119999999995</c:v>
                </c:pt>
                <c:pt idx="10">
                  <c:v>53257.21</c:v>
                </c:pt>
                <c:pt idx="11">
                  <c:v>116132.13</c:v>
                </c:pt>
                <c:pt idx="12">
                  <c:v>153048.16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2-0B47-8700-F553FDD48B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8592703"/>
        <c:axId val="258602559"/>
      </c:barChart>
      <c:catAx>
        <c:axId val="258592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258602559"/>
        <c:crosses val="autoZero"/>
        <c:auto val="1"/>
        <c:lblAlgn val="ctr"/>
        <c:lblOffset val="100"/>
        <c:noMultiLvlLbl val="0"/>
      </c:catAx>
      <c:valAx>
        <c:axId val="258602559"/>
        <c:scaling>
          <c:orientation val="minMax"/>
        </c:scaling>
        <c:delete val="1"/>
        <c:axPos val="b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5859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 Semana 2Excel .xlsx]DASHBOARD!Cuenta_Estado_Pedidos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5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accent2"/>
                </a:solidFill>
              </a:rPr>
              <a:t>Estado de pedidos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5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82-F648-BB62-17D274B97DE0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82-F648-BB62-17D274B97DE0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82-F648-BB62-17D274B97DE0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82-F648-BB62-17D274B97DE0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82-F648-BB62-17D274B97D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DASHBOARD!$A$41:$A$46</c:f>
              <c:strCache>
                <c:ptCount val="5"/>
                <c:pt idx="0">
                  <c:v>EN PROCESO</c:v>
                </c:pt>
                <c:pt idx="1">
                  <c:v>ENTREGADO</c:v>
                </c:pt>
                <c:pt idx="2">
                  <c:v>DEVUELTO</c:v>
                </c:pt>
                <c:pt idx="3">
                  <c:v>CANCELADO</c:v>
                </c:pt>
                <c:pt idx="4">
                  <c:v>PENDIENTE</c:v>
                </c:pt>
              </c:strCache>
            </c:strRef>
          </c:cat>
          <c:val>
            <c:numRef>
              <c:f>DASHBOARD!$B$41:$B$46</c:f>
              <c:numCache>
                <c:formatCode>0.00%</c:formatCode>
                <c:ptCount val="5"/>
                <c:pt idx="0">
                  <c:v>0.32317073170731708</c:v>
                </c:pt>
                <c:pt idx="1">
                  <c:v>0.21341463414634146</c:v>
                </c:pt>
                <c:pt idx="2">
                  <c:v>0.18292682926829268</c:v>
                </c:pt>
                <c:pt idx="3">
                  <c:v>0.16463414634146342</c:v>
                </c:pt>
                <c:pt idx="4">
                  <c:v>0.11585365853658537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6-EB46-8ADB-1832682EF94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 Semana 2Excel .xlsx]DASHBOARD!Ingreso_Tiempo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cap="all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accent2"/>
                </a:solidFill>
              </a:rPr>
              <a:t>ingreso por trimestres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cap="all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DASHBOARD!$A$50:$A$60</c:f>
              <c:multiLvlStrCache>
                <c:ptCount val="8"/>
                <c:lvl>
                  <c:pt idx="0">
                    <c:v>Trim.1</c:v>
                  </c:pt>
                  <c:pt idx="1">
                    <c:v>Trim.2</c:v>
                  </c:pt>
                  <c:pt idx="2">
                    <c:v>Trim.3</c:v>
                  </c:pt>
                  <c:pt idx="3">
                    <c:v>Trim.4</c:v>
                  </c:pt>
                  <c:pt idx="4">
                    <c:v>Trim.1</c:v>
                  </c:pt>
                  <c:pt idx="5">
                    <c:v>Trim.2</c:v>
                  </c:pt>
                  <c:pt idx="6">
                    <c:v>Trim.3</c:v>
                  </c:pt>
                  <c:pt idx="7">
                    <c:v>Trim.4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DASHBOARD!$B$50:$B$60</c:f>
              <c:numCache>
                <c:formatCode>_("$"* #,##0.00_);_("$"* \(#,##0.00\);_("$"* "-"??_);_(@_)</c:formatCode>
                <c:ptCount val="8"/>
                <c:pt idx="0">
                  <c:v>153620.69999999995</c:v>
                </c:pt>
                <c:pt idx="1">
                  <c:v>5827.6000000000013</c:v>
                </c:pt>
                <c:pt idx="2">
                  <c:v>199211.52000000002</c:v>
                </c:pt>
                <c:pt idx="3">
                  <c:v>28390.480000000007</c:v>
                </c:pt>
                <c:pt idx="4">
                  <c:v>83047.98000000001</c:v>
                </c:pt>
                <c:pt idx="5">
                  <c:v>27179.759999999998</c:v>
                </c:pt>
                <c:pt idx="6">
                  <c:v>161.55000000000001</c:v>
                </c:pt>
                <c:pt idx="7">
                  <c:v>134.96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D-0042-9A6A-EEEDB67077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0514111"/>
        <c:axId val="117531839"/>
      </c:lineChart>
      <c:catAx>
        <c:axId val="26051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17531839"/>
        <c:crosses val="autoZero"/>
        <c:auto val="1"/>
        <c:lblAlgn val="ctr"/>
        <c:lblOffset val="100"/>
        <c:noMultiLvlLbl val="0"/>
      </c:catAx>
      <c:valAx>
        <c:axId val="117531839"/>
        <c:scaling>
          <c:orientation val="minMax"/>
        </c:scaling>
        <c:delete val="1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60514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9818</xdr:colOff>
      <xdr:row>18</xdr:row>
      <xdr:rowOff>35126</xdr:rowOff>
    </xdr:from>
    <xdr:to>
      <xdr:col>17</xdr:col>
      <xdr:colOff>235865</xdr:colOff>
      <xdr:row>41</xdr:row>
      <xdr:rowOff>201202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824179-3337-16CF-2018-76592D3AE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11388</xdr:colOff>
      <xdr:row>18</xdr:row>
      <xdr:rowOff>44360</xdr:rowOff>
    </xdr:from>
    <xdr:to>
      <xdr:col>28</xdr:col>
      <xdr:colOff>15679</xdr:colOff>
      <xdr:row>42</xdr:row>
      <xdr:rowOff>3663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DF5DF58-77BA-2644-D4E5-0F11F8310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11432</xdr:colOff>
      <xdr:row>43</xdr:row>
      <xdr:rowOff>5095</xdr:rowOff>
    </xdr:from>
    <xdr:to>
      <xdr:col>17</xdr:col>
      <xdr:colOff>254000</xdr:colOff>
      <xdr:row>69</xdr:row>
      <xdr:rowOff>1937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A9C3C0C-0169-085D-24B8-030CC6854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13393</xdr:colOff>
      <xdr:row>43</xdr:row>
      <xdr:rowOff>12635</xdr:rowOff>
    </xdr:from>
    <xdr:to>
      <xdr:col>28</xdr:col>
      <xdr:colOff>23517</xdr:colOff>
      <xdr:row>68</xdr:row>
      <xdr:rowOff>184151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0A450B0-672D-D10D-B33F-E7F3E11DF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741680</xdr:colOff>
      <xdr:row>7</xdr:row>
      <xdr:rowOff>0</xdr:rowOff>
    </xdr:from>
    <xdr:to>
      <xdr:col>24</xdr:col>
      <xdr:colOff>2567</xdr:colOff>
      <xdr:row>17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B79EFD87-4D9E-FF17-149F-BCCA813C2C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04537" y="1481667"/>
              <a:ext cx="2526601" cy="21369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207749</xdr:colOff>
      <xdr:row>6</xdr:row>
      <xdr:rowOff>198121</xdr:rowOff>
    </xdr:from>
    <xdr:to>
      <xdr:col>28</xdr:col>
      <xdr:colOff>10160</xdr:colOff>
      <xdr:row>17</xdr:row>
      <xdr:rowOff>585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2" name="Fecha_Pedido">
              <a:extLst>
                <a:ext uri="{FF2B5EF4-FFF2-40B4-BE49-F238E27FC236}">
                  <a16:creationId xmlns:a16="http://schemas.microsoft.com/office/drawing/2014/main" id="{B0B105F3-FA15-9B28-7E63-9A5D0C023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_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6320" y="1468121"/>
              <a:ext cx="3068126" cy="213079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8</xdr:col>
      <xdr:colOff>118533</xdr:colOff>
      <xdr:row>9</xdr:row>
      <xdr:rowOff>190500</xdr:rowOff>
    </xdr:from>
    <xdr:to>
      <xdr:col>11</xdr:col>
      <xdr:colOff>237067</xdr:colOff>
      <xdr:row>16</xdr:row>
      <xdr:rowOff>186266</xdr:rowOff>
    </xdr:to>
    <xdr:sp macro="" textlink="$B$70">
      <xdr:nvSpPr>
        <xdr:cNvPr id="3" name="CuadroTexto 2">
          <a:extLst>
            <a:ext uri="{FF2B5EF4-FFF2-40B4-BE49-F238E27FC236}">
              <a16:creationId xmlns:a16="http://schemas.microsoft.com/office/drawing/2014/main" id="{105A540B-58EC-8D38-9A87-51D127EF4DB9}"/>
            </a:ext>
          </a:extLst>
        </xdr:cNvPr>
        <xdr:cNvSpPr txBox="1"/>
      </xdr:nvSpPr>
      <xdr:spPr>
        <a:xfrm>
          <a:off x="6316133" y="1003300"/>
          <a:ext cx="2607734" cy="1418166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7F1380-F05A-1647-8BF0-06E1BDABEEF7}" type="TxLink">
            <a:rPr lang="en-US" sz="3200" b="1" i="0" u="none" strike="noStrike">
              <a:solidFill>
                <a:schemeClr val="accent1"/>
              </a:solidFill>
              <a:latin typeface="Aptos Narrow"/>
            </a:rPr>
            <a:pPr algn="ctr"/>
            <a:t> $497,574.55 </a:t>
          </a:fld>
          <a:endParaRPr lang="es-MX" sz="3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11</xdr:col>
      <xdr:colOff>791631</xdr:colOff>
      <xdr:row>9</xdr:row>
      <xdr:rowOff>194735</xdr:rowOff>
    </xdr:from>
    <xdr:to>
      <xdr:col>15</xdr:col>
      <xdr:colOff>186265</xdr:colOff>
      <xdr:row>16</xdr:row>
      <xdr:rowOff>169335</xdr:rowOff>
    </xdr:to>
    <xdr:sp macro="" textlink="$C$76">
      <xdr:nvSpPr>
        <xdr:cNvPr id="4" name="CuadroTexto 3">
          <a:extLst>
            <a:ext uri="{FF2B5EF4-FFF2-40B4-BE49-F238E27FC236}">
              <a16:creationId xmlns:a16="http://schemas.microsoft.com/office/drawing/2014/main" id="{064BE8CA-3828-1644-ABF5-B0D5480F8308}"/>
            </a:ext>
          </a:extLst>
        </xdr:cNvPr>
        <xdr:cNvSpPr txBox="1"/>
      </xdr:nvSpPr>
      <xdr:spPr>
        <a:xfrm>
          <a:off x="9478431" y="1007535"/>
          <a:ext cx="2713567" cy="1397000"/>
        </a:xfrm>
        <a:prstGeom prst="roundRect">
          <a:avLst/>
        </a:prstGeom>
        <a:ln cap="flat">
          <a:miter lim="800000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5BCC4F5-EE09-6A42-8D12-CAE1B6A501A9}" type="TxLink">
            <a:rPr lang="en-US" sz="3200" b="1" i="0" u="none" strike="noStrike">
              <a:solidFill>
                <a:schemeClr val="accent1"/>
              </a:solidFill>
              <a:latin typeface="Aptos Narrow"/>
            </a:rPr>
            <a:pPr algn="ctr"/>
            <a:t>21.34%</a:t>
          </a:fld>
          <a:endParaRPr lang="es-MX" sz="3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15</xdr:col>
      <xdr:colOff>753534</xdr:colOff>
      <xdr:row>10</xdr:row>
      <xdr:rowOff>0</xdr:rowOff>
    </xdr:from>
    <xdr:to>
      <xdr:col>19</xdr:col>
      <xdr:colOff>287866</xdr:colOff>
      <xdr:row>16</xdr:row>
      <xdr:rowOff>186265</xdr:rowOff>
    </xdr:to>
    <xdr:sp macro="" textlink="$C$82">
      <xdr:nvSpPr>
        <xdr:cNvPr id="8" name="CuadroTexto 7">
          <a:extLst>
            <a:ext uri="{FF2B5EF4-FFF2-40B4-BE49-F238E27FC236}">
              <a16:creationId xmlns:a16="http://schemas.microsoft.com/office/drawing/2014/main" id="{88CBF78D-B3F0-A847-96B1-20DA9D24C40B}"/>
            </a:ext>
          </a:extLst>
        </xdr:cNvPr>
        <xdr:cNvSpPr txBox="1"/>
      </xdr:nvSpPr>
      <xdr:spPr>
        <a:xfrm>
          <a:off x="12759267" y="1016000"/>
          <a:ext cx="2853266" cy="1405465"/>
        </a:xfrm>
        <a:prstGeom prst="roundRect">
          <a:avLst/>
        </a:prstGeom>
        <a:ln cap="flat">
          <a:miter lim="800000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7DB40C3-0AD1-DA4B-AB1A-501D49D4A466}" type="TxLink">
            <a:rPr lang="en-US" sz="3200" b="1" i="0" u="none" strike="noStrike">
              <a:solidFill>
                <a:schemeClr val="accent1"/>
              </a:solidFill>
              <a:latin typeface="Aptos Narrow"/>
            </a:rPr>
            <a:pPr algn="ctr"/>
            <a:t>DEPORTES</a:t>
          </a:fld>
          <a:endParaRPr lang="es-MX" sz="3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76971</xdr:colOff>
      <xdr:row>6</xdr:row>
      <xdr:rowOff>13084</xdr:rowOff>
    </xdr:from>
    <xdr:to>
      <xdr:col>11</xdr:col>
      <xdr:colOff>263238</xdr:colOff>
      <xdr:row>9</xdr:row>
      <xdr:rowOff>89285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9880B2E-BB27-F1C7-0F38-A0836B156E26}"/>
            </a:ext>
          </a:extLst>
        </xdr:cNvPr>
        <xdr:cNvSpPr txBox="1"/>
      </xdr:nvSpPr>
      <xdr:spPr>
        <a:xfrm>
          <a:off x="1731819" y="1283084"/>
          <a:ext cx="2668540" cy="711201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>
              <a:solidFill>
                <a:schemeClr val="accent2"/>
              </a:solidFill>
            </a:rPr>
            <a:t>INGRESO</a:t>
          </a:r>
          <a:r>
            <a:rPr lang="es-MX" sz="2400" b="1" baseline="0">
              <a:solidFill>
                <a:schemeClr val="accent2"/>
              </a:solidFill>
            </a:rPr>
            <a:t> TOTAL </a:t>
          </a:r>
          <a:endParaRPr lang="es-MX" sz="2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12</xdr:col>
      <xdr:colOff>43873</xdr:colOff>
      <xdr:row>5</xdr:row>
      <xdr:rowOff>76971</xdr:rowOff>
    </xdr:from>
    <xdr:to>
      <xdr:col>14</xdr:col>
      <xdr:colOff>820497</xdr:colOff>
      <xdr:row>9</xdr:row>
      <xdr:rowOff>108530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C5F1E582-540D-394E-8251-21CF46D3614D}"/>
            </a:ext>
          </a:extLst>
        </xdr:cNvPr>
        <xdr:cNvSpPr txBox="1"/>
      </xdr:nvSpPr>
      <xdr:spPr>
        <a:xfrm>
          <a:off x="5008418" y="1135304"/>
          <a:ext cx="2431473" cy="878226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>
              <a:solidFill>
                <a:schemeClr val="accent2"/>
              </a:solidFill>
            </a:rPr>
            <a:t>% </a:t>
          </a:r>
          <a:r>
            <a:rPr lang="es-MX" sz="2400" b="1" baseline="0">
              <a:solidFill>
                <a:schemeClr val="accent2"/>
              </a:solidFill>
            </a:rPr>
            <a:t>EFECTIVIDAD ENTREGA</a:t>
          </a:r>
          <a:endParaRPr lang="es-MX" sz="2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16</xdr:col>
      <xdr:colOff>134697</xdr:colOff>
      <xdr:row>5</xdr:row>
      <xdr:rowOff>96214</xdr:rowOff>
    </xdr:from>
    <xdr:to>
      <xdr:col>19</xdr:col>
      <xdr:colOff>83897</xdr:colOff>
      <xdr:row>9</xdr:row>
      <xdr:rowOff>101987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4F3A48E-071D-6F4B-853F-BC3666299DEE}"/>
            </a:ext>
          </a:extLst>
        </xdr:cNvPr>
        <xdr:cNvSpPr txBox="1"/>
      </xdr:nvSpPr>
      <xdr:spPr>
        <a:xfrm>
          <a:off x="8408939" y="1154547"/>
          <a:ext cx="2431473" cy="85244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400" b="1">
              <a:solidFill>
                <a:schemeClr val="accent2"/>
              </a:solidFill>
            </a:rPr>
            <a:t>CATEGORIA MAYOR</a:t>
          </a:r>
          <a:r>
            <a:rPr lang="es-MX" sz="2400" b="1" baseline="0">
              <a:solidFill>
                <a:schemeClr val="accent2"/>
              </a:solidFill>
            </a:rPr>
            <a:t> INGRESO</a:t>
          </a:r>
          <a:endParaRPr lang="es-MX" sz="2400" b="1">
            <a:solidFill>
              <a:schemeClr val="accent2"/>
            </a:solidFill>
          </a:endParaRPr>
        </a:p>
      </xdr:txBody>
    </xdr:sp>
    <xdr:clientData/>
  </xdr:twoCellAnchor>
  <xdr:twoCellAnchor>
    <xdr:from>
      <xdr:col>6</xdr:col>
      <xdr:colOff>592667</xdr:colOff>
      <xdr:row>0</xdr:row>
      <xdr:rowOff>0</xdr:rowOff>
    </xdr:from>
    <xdr:to>
      <xdr:col>28</xdr:col>
      <xdr:colOff>660401</xdr:colOff>
      <xdr:row>5</xdr:row>
      <xdr:rowOff>50800</xdr:rowOff>
    </xdr:to>
    <xdr:sp macro="" textlink="$B$70">
      <xdr:nvSpPr>
        <xdr:cNvPr id="15" name="CuadroTexto 14">
          <a:extLst>
            <a:ext uri="{FF2B5EF4-FFF2-40B4-BE49-F238E27FC236}">
              <a16:creationId xmlns:a16="http://schemas.microsoft.com/office/drawing/2014/main" id="{F611F197-D354-5542-A17F-163E79014EAA}"/>
            </a:ext>
          </a:extLst>
        </xdr:cNvPr>
        <xdr:cNvSpPr txBox="1"/>
      </xdr:nvSpPr>
      <xdr:spPr>
        <a:xfrm>
          <a:off x="592667" y="0"/>
          <a:ext cx="18321867" cy="1066800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3200" b="1">
              <a:solidFill>
                <a:schemeClr val="accent1"/>
              </a:solidFill>
            </a:rPr>
            <a:t>ANÁLISIS</a:t>
          </a:r>
          <a:r>
            <a:rPr lang="es-MX" sz="3200" b="1" baseline="0">
              <a:solidFill>
                <a:schemeClr val="accent1"/>
              </a:solidFill>
            </a:rPr>
            <a:t> VENTAS TIENDA ONLINE ECUADOR 2024 - 2025</a:t>
          </a:r>
          <a:endParaRPr lang="es-MX" sz="3200" b="1">
            <a:solidFill>
              <a:schemeClr val="accent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17.944898379632" createdVersion="8" refreshedVersion="8" minRefreshableVersion="3" recordCount="164" xr:uid="{3DF097FE-45EB-5949-BF02-C73F6418EFA8}">
  <cacheSource type="worksheet">
    <worksheetSource name="Datos_Ventas_Online"/>
  </cacheSource>
  <cacheFields count="17">
    <cacheField name="ID_Pedido" numFmtId="0">
      <sharedItems containsSemiMixedTypes="0" containsString="0" containsNumber="1" containsInteger="1" minValue="1001" maxValue="1184"/>
    </cacheField>
    <cacheField name="Fecha_Pedido" numFmtId="14">
      <sharedItems containsSemiMixedTypes="0" containsNonDate="0" containsDate="1" containsString="0" minDate="2024-01-03T00:00:00" maxDate="2025-10-03T00:00:00" count="138">
        <d v="2024-06-11T00:00:00"/>
        <d v="2025-03-25T00:00:00"/>
        <d v="2024-03-11T00:00:00"/>
        <d v="2024-02-08T00:00:00"/>
        <d v="2024-11-01T00:00:00"/>
        <d v="2024-03-03T00:00:00"/>
        <d v="2025-04-18T00:00:00"/>
        <d v="2024-08-13T00:00:00"/>
        <d v="2024-12-01T00:00:00"/>
        <d v="2024-08-21T00:00:00"/>
        <d v="2024-02-02T00:00:00"/>
        <d v="2024-06-10T00:00:00"/>
        <d v="2024-02-03T00:00:00"/>
        <d v="2024-03-18T00:00:00"/>
        <d v="2024-01-10T00:00:00"/>
        <d v="2024-09-13T00:00:00"/>
        <d v="2025-02-07T00:00:00"/>
        <d v="2025-04-29T00:00:00"/>
        <d v="2024-11-16T00:00:00"/>
        <d v="2025-01-01T00:00:00"/>
        <d v="2025-03-24T00:00:00"/>
        <d v="2024-02-14T00:00:00"/>
        <d v="2024-01-03T00:00:00"/>
        <d v="2024-03-17T00:00:00"/>
        <d v="2025-01-29T00:00:00"/>
        <d v="2025-06-01T00:00:00"/>
        <d v="2024-03-25T00:00:00"/>
        <d v="2024-07-10T00:00:00"/>
        <d v="2024-03-02T00:00:00"/>
        <d v="2024-04-05T00:00:00"/>
        <d v="2024-02-21T00:00:00"/>
        <d v="2024-11-23T00:00:00"/>
        <d v="2024-11-17T00:00:00"/>
        <d v="2025-01-23T00:00:00"/>
        <d v="2024-02-22T00:00:00"/>
        <d v="2024-10-19T00:00:00"/>
        <d v="2024-03-16T00:00:00"/>
        <d v="2025-04-09T00:00:00"/>
        <d v="2024-07-04T00:00:00"/>
        <d v="2024-05-20T00:00:00"/>
        <d v="2025-02-26T00:00:00"/>
        <d v="2024-12-04T00:00:00"/>
        <d v="2024-03-05T00:00:00"/>
        <d v="2024-05-27T00:00:00"/>
        <d v="2024-07-11T00:00:00"/>
        <d v="2025-05-14T00:00:00"/>
        <d v="2024-03-24T00:00:00"/>
        <d v="2024-04-22T00:00:00"/>
        <d v="2024-10-22T00:00:00"/>
        <d v="2024-02-28T00:00:00"/>
        <d v="2025-03-19T00:00:00"/>
        <d v="2024-11-02T00:00:00"/>
        <d v="2024-02-18T00:00:00"/>
        <d v="2024-01-27T00:00:00"/>
        <d v="2025-02-15T00:00:00"/>
        <d v="2025-04-20T00:00:00"/>
        <d v="2025-05-25T00:00:00"/>
        <d v="2025-05-10T00:00:00"/>
        <d v="2024-03-12T00:00:00"/>
        <d v="2024-12-05T00:00:00"/>
        <d v="2024-02-29T00:00:00"/>
        <d v="2025-05-22T00:00:00"/>
        <d v="2024-11-08T00:00:00"/>
        <d v="2024-09-17T00:00:00"/>
        <d v="2024-08-22T00:00:00"/>
        <d v="2025-01-25T00:00:00"/>
        <d v="2025-04-15T00:00:00"/>
        <d v="2025-03-06T00:00:00"/>
        <d v="2025-01-06T00:00:00"/>
        <d v="2024-04-11T00:00:00"/>
        <d v="2024-12-08T00:00:00"/>
        <d v="2024-06-05T00:00:00"/>
        <d v="2025-03-18T00:00:00"/>
        <d v="2024-06-24T00:00:00"/>
        <d v="2024-03-23T00:00:00"/>
        <d v="2025-04-16T00:00:00"/>
        <d v="2025-10-02T00:00:00"/>
        <d v="2024-02-12T00:00:00"/>
        <d v="2025-01-12T00:00:00"/>
        <d v="2024-07-21T00:00:00"/>
        <d v="2024-01-11T00:00:00"/>
        <d v="2024-05-08T00:00:00"/>
        <d v="2024-04-27T00:00:00"/>
        <d v="2024-05-06T00:00:00"/>
        <d v="2025-04-21T00:00:00"/>
        <d v="2025-03-17T00:00:00"/>
        <d v="2025-06-05T00:00:00"/>
        <d v="2025-02-03T00:00:00"/>
        <d v="2025-05-05T00:00:00"/>
        <d v="2025-05-17T00:00:00"/>
        <d v="2024-10-02T00:00:00"/>
        <d v="2024-09-30T00:00:00"/>
        <d v="2025-02-12T00:00:00"/>
        <d v="2024-12-24T00:00:00"/>
        <d v="2024-03-19T00:00:00"/>
        <d v="2024-01-07T00:00:00"/>
        <d v="2024-09-15T00:00:00"/>
        <d v="2024-02-15T00:00:00"/>
        <d v="2024-05-26T00:00:00"/>
        <d v="2025-06-18T00:00:00"/>
        <d v="2024-05-10T00:00:00"/>
        <d v="2024-08-29T00:00:00"/>
        <d v="2024-09-07T00:00:00"/>
        <d v="2024-04-26T00:00:00"/>
        <d v="2024-08-30T00:00:00"/>
        <d v="2025-01-14T00:00:00"/>
        <d v="2024-06-19T00:00:00"/>
        <d v="2024-10-10T00:00:00"/>
        <d v="2024-07-17T00:00:00"/>
        <d v="2025-06-22T00:00:00"/>
        <d v="2024-03-04T00:00:00"/>
        <d v="2024-08-31T00:00:00"/>
        <d v="2025-04-07T00:00:00"/>
        <d v="2024-11-26T00:00:00"/>
        <d v="2024-07-01T00:00:00"/>
        <d v="2025-01-28T00:00:00"/>
        <d v="2024-10-04T00:00:00"/>
        <d v="2025-06-16T00:00:00"/>
        <d v="2024-06-28T00:00:00"/>
        <d v="2025-04-04T00:00:00"/>
        <d v="2025-05-11T00:00:00"/>
        <d v="2024-06-06T00:00:00"/>
        <d v="2024-10-06T00:00:00"/>
        <d v="2025-02-17T00:00:00"/>
        <d v="2025-01-07T00:00:00"/>
        <d v="2024-07-24T00:00:00"/>
        <d v="2025-03-09T00:00:00"/>
        <d v="2024-04-02T00:00:00"/>
        <d v="2024-02-23T00:00:00"/>
        <d v="2025-03-29T00:00:00"/>
        <d v="2024-07-23T00:00:00"/>
        <d v="2024-04-14T00:00:00"/>
        <d v="2024-04-12T00:00:00"/>
        <d v="2024-05-04T00:00:00"/>
        <d v="2024-07-02T00:00:00"/>
        <d v="2024-06-20T00:00:00"/>
        <d v="2025-09-05T00:00:00"/>
        <d v="2025-02-08T00:00:00"/>
      </sharedItems>
      <fieldGroup par="16"/>
    </cacheField>
    <cacheField name="Cliente" numFmtId="0">
      <sharedItems/>
    </cacheField>
    <cacheField name="Correo_Electronico" numFmtId="0">
      <sharedItems/>
    </cacheField>
    <cacheField name="Ciudad" numFmtId="0">
      <sharedItems count="13">
        <s v="RIOBAMBA"/>
        <s v="PORTOVIEJO"/>
        <s v="QUITO"/>
        <s v="GUAYAQUIL"/>
        <s v="DURAN"/>
        <s v="MACHALA"/>
        <s v="IBARRA"/>
        <s v="SANTO DOMINGO"/>
        <s v="AMBATO"/>
        <s v="LOJA"/>
        <s v="MANTA"/>
        <s v="ESMERALDAS"/>
        <s v="CUENCA"/>
      </sharedItems>
    </cacheField>
    <cacheField name="Pais" numFmtId="0">
      <sharedItems/>
    </cacheField>
    <cacheField name="Categoria_Producto" numFmtId="0">
      <sharedItems count="10">
        <s v="BELLEZA"/>
        <s v="LIBROS"/>
        <s v="ROPA"/>
        <s v="ELECTRODOMESTICOS"/>
        <s v="ELECTRONICA"/>
        <s v="ALIMENTOS"/>
        <s v="JUGUETES"/>
        <s v="DEPORTES"/>
        <s v="CALZADO"/>
        <s v="HOGAR"/>
      </sharedItems>
    </cacheField>
    <cacheField name="Producto" numFmtId="0">
      <sharedItems/>
    </cacheField>
    <cacheField name="Cantidad" numFmtId="0">
      <sharedItems containsSemiMixedTypes="0" containsString="0" containsNumber="1" containsInteger="1" minValue="0" maxValue="5" count="6">
        <n v="1"/>
        <n v="5"/>
        <n v="2"/>
        <n v="3"/>
        <n v="0"/>
        <n v="4"/>
      </sharedItems>
    </cacheField>
    <cacheField name="Precio_Unitario" numFmtId="0">
      <sharedItems containsString="0" containsBlank="1" containsNumber="1" minValue="6.44" maxValue="24529"/>
    </cacheField>
    <cacheField name="Metodo_Pago" numFmtId="0">
      <sharedItems/>
    </cacheField>
    <cacheField name="Estado_Pedido" numFmtId="0">
      <sharedItems count="5">
        <s v="DEVUELTO"/>
        <s v="EN PROCESO"/>
        <s v="CANCELADO"/>
        <s v="PENDIENTE"/>
        <s v="ENTREGADO"/>
      </sharedItems>
    </cacheField>
    <cacheField name="Correo_Valido" numFmtId="0">
      <sharedItems/>
    </cacheField>
    <cacheField name="Ingreso" numFmtId="0">
      <sharedItems containsString="0" containsBlank="1" containsNumber="1" minValue="0" maxValue="98515"/>
    </cacheField>
    <cacheField name="Meses (Fecha_Pedido)" numFmtId="0" databaseField="0">
      <fieldGroup base="1">
        <rangePr groupBy="months" startDate="2024-01-03T00:00:00" endDate="2025-10-03T00:00:00"/>
        <groupItems count="14">
          <s v="&lt;3/1/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/10/25"/>
        </groupItems>
      </fieldGroup>
    </cacheField>
    <cacheField name="Trimestres (Fecha_Pedido)" numFmtId="0" databaseField="0">
      <fieldGroup base="1">
        <rangePr groupBy="quarters" startDate="2024-01-03T00:00:00" endDate="2025-10-03T00:00:00"/>
        <groupItems count="6">
          <s v="&lt;3/1/24"/>
          <s v="Trim.1"/>
          <s v="Trim.2"/>
          <s v="Trim.3"/>
          <s v="Trim.4"/>
          <s v="&gt;3/10/25"/>
        </groupItems>
      </fieldGroup>
    </cacheField>
    <cacheField name="Años (Fecha_Pedido)" numFmtId="0" databaseField="0">
      <fieldGroup base="1">
        <rangePr groupBy="years" startDate="2024-01-03T00:00:00" endDate="2025-10-03T00:00:00"/>
        <groupItems count="4">
          <s v="&lt;3/1/24"/>
          <s v="2024"/>
          <s v="2025"/>
          <s v="&gt;3/10/25"/>
        </groupItems>
      </fieldGroup>
    </cacheField>
  </cacheFields>
  <extLst>
    <ext xmlns:x14="http://schemas.microsoft.com/office/spreadsheetml/2009/9/main" uri="{725AE2AE-9491-48be-B2B4-4EB974FC3084}">
      <x14:pivotCacheDefinition pivotCacheId="31557677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n v="1036"/>
    <x v="0"/>
    <s v="PEDRO PABLO GOMEZ"/>
    <s v="pedro.gomez36@outlook.com"/>
    <x v="0"/>
    <s v="ECUADOR"/>
    <x v="0"/>
    <s v="SECADOR DE CABELLO"/>
    <x v="0"/>
    <n v="223.4"/>
    <s v="PAYPAL"/>
    <x v="0"/>
    <s v="SI"/>
    <n v="223.4"/>
  </r>
  <r>
    <n v="1058"/>
    <x v="1"/>
    <s v="ANA SOFIA TORRES"/>
    <s v="ana.torres58@yahoo.com"/>
    <x v="1"/>
    <s v="ECUADOR"/>
    <x v="1"/>
    <s v="LIBRO DE COCINA"/>
    <x v="1"/>
    <n v="225"/>
    <s v="TARJETA DE CREDITO"/>
    <x v="0"/>
    <s v="SI"/>
    <n v="1125"/>
  </r>
  <r>
    <n v="1127"/>
    <x v="2"/>
    <s v="PEDRO PABLO GOMEZ"/>
    <s v="pedro.gomez127@yahoo.com"/>
    <x v="2"/>
    <s v="ECUADOR"/>
    <x v="2"/>
    <s v="VESTIDO CASUAL"/>
    <x v="2"/>
    <n v="242.05"/>
    <s v="TRANSFERENCIA BANCARIA"/>
    <x v="1"/>
    <s v="SI"/>
    <n v="484.1"/>
  </r>
  <r>
    <n v="1150"/>
    <x v="3"/>
    <s v="MARIA JOSE SANCHEZ"/>
    <s v="maria.sanchez150@yahoo.com"/>
    <x v="1"/>
    <s v="ECUADOR"/>
    <x v="2"/>
    <s v="VESTIDO CASUAL"/>
    <x v="3"/>
    <n v="13.9"/>
    <s v="PAYPAL"/>
    <x v="1"/>
    <s v="SI"/>
    <n v="41.7"/>
  </r>
  <r>
    <n v="1161"/>
    <x v="4"/>
    <s v="SANTIAGO NICOLAS ORTIZ"/>
    <s v="santiago.ortiz161@gmail.com"/>
    <x v="2"/>
    <s v="ECUADOR"/>
    <x v="3"/>
    <s v="PLANCHA"/>
    <x v="2"/>
    <n v="136.63"/>
    <s v="PAYPAL"/>
    <x v="2"/>
    <s v="SI"/>
    <n v="273.26"/>
  </r>
  <r>
    <n v="1015"/>
    <x v="5"/>
    <s v="JUAN CARLOS PEREZ"/>
    <s v="juan.perez15@gmail.com"/>
    <x v="3"/>
    <s v="ECUADOR"/>
    <x v="1"/>
    <s v="LIBRO DE AUTOAYUDA"/>
    <x v="0"/>
    <n v="119.42"/>
    <s v="TRANSFERENCIA BANCARIA"/>
    <x v="3"/>
    <s v="SI"/>
    <n v="119.42"/>
  </r>
  <r>
    <n v="1062"/>
    <x v="6"/>
    <s v="ALEJANDRO JOSE REYES"/>
    <s v="alejandro.reyes62@gmail.com"/>
    <x v="4"/>
    <s v="ECUADOR"/>
    <x v="4"/>
    <s v="PARLANTE PORTATIL"/>
    <x v="2"/>
    <n v="84.2"/>
    <s v="EFECTIVO"/>
    <x v="0"/>
    <s v="SI"/>
    <n v="168.4"/>
  </r>
  <r>
    <n v="1039"/>
    <x v="7"/>
    <s v="MIGUEL ANGEL CHAVEZ"/>
    <s v="miguel.chavez39@outlook.com"/>
    <x v="4"/>
    <s v="ECUADOR"/>
    <x v="5"/>
    <s v="CAFE ORGANICO 500G"/>
    <x v="0"/>
    <n v="6.44"/>
    <s v="PAYPAL"/>
    <x v="1"/>
    <s v="SI"/>
    <n v="6.44"/>
  </r>
  <r>
    <n v="1140"/>
    <x v="8"/>
    <s v="GABRIELA ANTONELLA PAZ"/>
    <s v="gabriela.paz140@hotmail.com"/>
    <x v="5"/>
    <s v="ECUADOR"/>
    <x v="6"/>
    <s v="SET DE BLOQUES"/>
    <x v="2"/>
    <n v="179.83"/>
    <s v="TRANSFERENCIA BANCARIA"/>
    <x v="1"/>
    <s v="SI"/>
    <n v="359.66"/>
  </r>
  <r>
    <n v="1003"/>
    <x v="9"/>
    <s v="VALERIA XIMENA CRUZ"/>
    <s v="valeria.cruz3@gmail.com"/>
    <x v="3"/>
    <s v="ECUADOR"/>
    <x v="4"/>
    <s v="MOUSE INALAMBRICO"/>
    <x v="1"/>
    <n v="156.54"/>
    <s v="TRANSFERENCIA BANCARIA"/>
    <x v="2"/>
    <s v="SI"/>
    <n v="782.69999999999993"/>
  </r>
  <r>
    <n v="1162"/>
    <x v="10"/>
    <s v="RENATA SOFIA GUZMAN"/>
    <s v="renata.guzman162@gmail.com"/>
    <x v="4"/>
    <s v="ECUADOR"/>
    <x v="7"/>
    <s v="GUANTES DE BOXEO"/>
    <x v="2"/>
    <n v="65.64"/>
    <s v="TARJETA DE CREDITO"/>
    <x v="2"/>
    <s v="SI"/>
    <n v="131.28"/>
  </r>
  <r>
    <n v="1151"/>
    <x v="11"/>
    <s v="VALENTINA ISABEL ROJAS"/>
    <s v="valentina.rojas151@outlook.com"/>
    <x v="6"/>
    <s v="ECUADOR"/>
    <x v="3"/>
    <s v="PLANCHA"/>
    <x v="1"/>
    <n v="162.12"/>
    <s v="PAGO CONTRA ENTREGA"/>
    <x v="4"/>
    <s v="SI"/>
    <n v="810.6"/>
  </r>
  <r>
    <n v="1124"/>
    <x v="12"/>
    <s v="PAULA ANDREA SALAZAR"/>
    <s v="paula.salazar124@outlook.com"/>
    <x v="4"/>
    <s v="ECUADOR"/>
    <x v="4"/>
    <s v="SMARTWATCH"/>
    <x v="0"/>
    <n v="112.35"/>
    <s v="TARJETA DE CREDITO"/>
    <x v="3"/>
    <s v="SI"/>
    <n v="112.35"/>
  </r>
  <r>
    <n v="1044"/>
    <x v="13"/>
    <s v="GABRIELA ANTONELLA PAZ"/>
    <s v="gabriela.paz44@hotmail.com"/>
    <x v="4"/>
    <s v="ECUADOR"/>
    <x v="2"/>
    <s v="CHAQUETA IMPERMEABLE"/>
    <x v="2"/>
    <n v="232.58"/>
    <s v="PAGO CONTRA ENTREGA"/>
    <x v="1"/>
    <s v="SI"/>
    <n v="465.16"/>
  </r>
  <r>
    <n v="1024"/>
    <x v="14"/>
    <s v="DIEGO ALEJANDRO CASTRO"/>
    <s v="diego.castro24@outlook.com"/>
    <x v="2"/>
    <s v="ECUADOR"/>
    <x v="1"/>
    <s v="LIBRO DE AUTOAYUDA"/>
    <x v="2"/>
    <n v="86.72"/>
    <s v="TARJETA DE CREDITO"/>
    <x v="4"/>
    <s v="SI"/>
    <n v="173.44"/>
  </r>
  <r>
    <n v="1073"/>
    <x v="15"/>
    <s v="DIEGO ALEJANDRO CASTRO"/>
    <s v="diego.castro73@outlook.com"/>
    <x v="7"/>
    <s v="ECUADOR"/>
    <x v="7"/>
    <s v="COLCHONETA YOGA"/>
    <x v="4"/>
    <n v="113.22"/>
    <s v="TRANSFERENCIA BANCARIA"/>
    <x v="2"/>
    <s v="SI"/>
    <n v="0"/>
  </r>
  <r>
    <n v="1040"/>
    <x v="16"/>
    <s v="MARIA JOSE SANCHEZ"/>
    <s v="maria.sanchez40@gmail.com"/>
    <x v="8"/>
    <s v="ECUADOR"/>
    <x v="6"/>
    <s v="SET DE BLOQUES"/>
    <x v="2"/>
    <n v="171.39"/>
    <s v="TARJETA DE CREDITO"/>
    <x v="1"/>
    <s v="SI"/>
    <n v="342.78"/>
  </r>
  <r>
    <n v="1014"/>
    <x v="17"/>
    <s v="MIGUEL ANGEL CHAVEZ"/>
    <s v="miguel.chavez14@hotmail.com"/>
    <x v="2"/>
    <s v="ECUADOR"/>
    <x v="4"/>
    <s v="MOUSE INALAMBRICO"/>
    <x v="5"/>
    <n v="123.93"/>
    <s v="PAYPAL"/>
    <x v="0"/>
    <s v="SI"/>
    <n v="495.72"/>
  </r>
  <r>
    <n v="1134"/>
    <x v="18"/>
    <s v="PAULA ANDREA SALAZAR"/>
    <s v="paula.salazar134@hotmail.com"/>
    <x v="7"/>
    <s v="ECUADOR"/>
    <x v="8"/>
    <s v="ZAPATOS FORMALES"/>
    <x v="2"/>
    <n v="43.73"/>
    <s v="EFECTIVO"/>
    <x v="2"/>
    <s v="SI"/>
    <n v="87.46"/>
  </r>
  <r>
    <n v="1025"/>
    <x v="19"/>
    <s v="JOSE LUIS MARTINEZ"/>
    <s v="jose.martinez25@gmail.com"/>
    <x v="7"/>
    <s v="ECUADOR"/>
    <x v="0"/>
    <s v="CREMA FACIAL"/>
    <x v="0"/>
    <n v="41.28"/>
    <s v="TARJETA DE CREDITO"/>
    <x v="1"/>
    <s v="SI"/>
    <n v="41.28"/>
  </r>
  <r>
    <n v="1109"/>
    <x v="20"/>
    <s v="SAMUEL DAVID CORDERO"/>
    <s v="samuel.cordero109@hotmail.com"/>
    <x v="1"/>
    <s v="ECUADOR"/>
    <x v="4"/>
    <s v="CARGADOR USB-C"/>
    <x v="0"/>
    <n v="973"/>
    <s v="PAGO CONTRA ENTREGA"/>
    <x v="3"/>
    <s v="SI"/>
    <n v="973"/>
  </r>
  <r>
    <n v="1067"/>
    <x v="21"/>
    <s v="ANDRES FELIPE VARGAS"/>
    <s v="andres.vargas67@outlook.com"/>
    <x v="1"/>
    <s v="ECUADOR"/>
    <x v="9"/>
    <s v="CORTINA"/>
    <x v="0"/>
    <n v="24529"/>
    <s v="EFECTIVO"/>
    <x v="2"/>
    <s v="SI"/>
    <n v="24529"/>
  </r>
  <r>
    <n v="1056"/>
    <x v="22"/>
    <s v="GABRIELA ANTONELLA PAZ"/>
    <s v="gabriela.paz56@hotmail.com"/>
    <x v="2"/>
    <s v="ECUADOR"/>
    <x v="5"/>
    <s v="CAFE ORGANICO 500G"/>
    <x v="5"/>
    <n v="69.84"/>
    <s v="TARJETA DE CREDITO"/>
    <x v="4"/>
    <s v="SI"/>
    <n v="279.36"/>
  </r>
  <r>
    <n v="1178"/>
    <x v="23"/>
    <s v="SARA DANIELA JIMENEZ"/>
    <s v="sara.jimenez178@gmail.com"/>
    <x v="9"/>
    <s v="ECUADOR"/>
    <x v="0"/>
    <s v="CREMA FACIAL"/>
    <x v="4"/>
    <n v="61.29"/>
    <s v="PAYPAL"/>
    <x v="0"/>
    <s v="SI"/>
    <n v="0"/>
  </r>
  <r>
    <n v="1184"/>
    <x v="24"/>
    <s v="JOSE LUIS MARTINEZ"/>
    <s v="jose.martinez184@yahoo.com"/>
    <x v="3"/>
    <s v="ECUADOR"/>
    <x v="7"/>
    <s v="GUANTES DE BOXEO"/>
    <x v="4"/>
    <n v="30.31"/>
    <s v="TRANSFERENCIA BANCARIA"/>
    <x v="4"/>
    <s v="SI"/>
    <n v="0"/>
  </r>
  <r>
    <n v="1023"/>
    <x v="25"/>
    <s v="MIGUEL ANGEL CHAVEZ"/>
    <s v="miguel.chavez23@yahoo.com"/>
    <x v="3"/>
    <s v="ECUADOR"/>
    <x v="3"/>
    <s v="LICUADORA"/>
    <x v="4"/>
    <n v="7403"/>
    <s v="EFECTIVO"/>
    <x v="2"/>
    <s v="SI"/>
    <n v="0"/>
  </r>
  <r>
    <n v="1121"/>
    <x v="26"/>
    <s v="DIEGO ALEJANDRO CASTRO"/>
    <s v="diego.castro121@yahoo.com"/>
    <x v="3"/>
    <s v="ECUADOR"/>
    <x v="7"/>
    <s v="BICICLETA ESTATICA"/>
    <x v="0"/>
    <n v="99.73"/>
    <s v="EFECTIVO"/>
    <x v="3"/>
    <s v="SI"/>
    <n v="99.73"/>
  </r>
  <r>
    <n v="1116"/>
    <x v="27"/>
    <s v="ALEJANDRO JOSE REYES"/>
    <s v="alejandro.reyes116@outlook.com"/>
    <x v="5"/>
    <s v="ECUADOR"/>
    <x v="0"/>
    <s v="CREMA FACIAL"/>
    <x v="4"/>
    <m/>
    <s v="TARJETA DE CREDITO"/>
    <x v="0"/>
    <s v="SI"/>
    <m/>
  </r>
  <r>
    <n v="1159"/>
    <x v="28"/>
    <s v="MATEO DAVID HERRERA"/>
    <s v="mateo.herrera159@gmail.com"/>
    <x v="7"/>
    <s v="ECUADOR"/>
    <x v="5"/>
    <s v="CAFE ORGANICO 500G"/>
    <x v="2"/>
    <n v="574"/>
    <s v="TARJETA DE CREDITO"/>
    <x v="4"/>
    <s v="SI"/>
    <n v="1148"/>
  </r>
  <r>
    <n v="1049"/>
    <x v="29"/>
    <s v="JUAN CARLOS PEREZ"/>
    <s v="juan.perez49@gmail.com"/>
    <x v="2"/>
    <s v="ECUADOR"/>
    <x v="5"/>
    <s v="SNACK SALUDABLE"/>
    <x v="0"/>
    <n v="63.88"/>
    <s v="PAYPAL"/>
    <x v="1"/>
    <s v="SI"/>
    <n v="63.88"/>
  </r>
  <r>
    <n v="1135"/>
    <x v="30"/>
    <s v="MARTINA LUCIA FUENTES"/>
    <s v="martina.fuentes135@gmail.com"/>
    <x v="10"/>
    <s v="ECUADOR"/>
    <x v="3"/>
    <s v="PLANCHA"/>
    <x v="4"/>
    <n v="83.18"/>
    <s v="TARJETA DE CREDITO"/>
    <x v="1"/>
    <s v="SI"/>
    <n v="0"/>
  </r>
  <r>
    <n v="1002"/>
    <x v="21"/>
    <s v="TOMAS IGNACIO AGUILAR"/>
    <s v="tomas.aguilar2@yahoo.com"/>
    <x v="9"/>
    <s v="ECUADOR"/>
    <x v="8"/>
    <s v="BOTAS DE CUERO"/>
    <x v="5"/>
    <n v="87.47"/>
    <s v="TARJETA DE CREDITO"/>
    <x v="1"/>
    <s v="SI"/>
    <n v="349.88"/>
  </r>
  <r>
    <n v="1170"/>
    <x v="31"/>
    <s v="VALERIA XIMENA CRUZ"/>
    <s v="valeria.cruz170@outlook.com"/>
    <x v="10"/>
    <s v="ECUADOR"/>
    <x v="9"/>
    <s v="CORTINA"/>
    <x v="4"/>
    <n v="80.56"/>
    <s v="PAGO CONTRA ENTREGA"/>
    <x v="1"/>
    <s v="SI"/>
    <n v="0"/>
  </r>
  <r>
    <n v="1020"/>
    <x v="32"/>
    <s v="MIGUEL ANGEL CHAVEZ"/>
    <s v="miguel.chavez20@hotmail.com"/>
    <x v="6"/>
    <s v="ECUADOR"/>
    <x v="0"/>
    <s v="SECADOR DE CABELLO"/>
    <x v="0"/>
    <n v="107.71"/>
    <s v="TRANSFERENCIA BANCARIA"/>
    <x v="1"/>
    <s v="SI"/>
    <n v="107.71"/>
  </r>
  <r>
    <n v="1041"/>
    <x v="33"/>
    <s v="NICOLAS ESTEBAN SILVA"/>
    <s v="nicolas.silva41@yahoo.com"/>
    <x v="7"/>
    <s v="ECUADOR"/>
    <x v="4"/>
    <s v="PARLANTE PORTATIL"/>
    <x v="3"/>
    <m/>
    <s v="EFECTIVO"/>
    <x v="2"/>
    <s v="SI"/>
    <m/>
  </r>
  <r>
    <n v="1090"/>
    <x v="34"/>
    <s v="MARTINA LUCIA FUENTES"/>
    <s v="martina.fuentes90@outlook.com"/>
    <x v="4"/>
    <s v="ECUADOR"/>
    <x v="3"/>
    <s v="VENTILADOR"/>
    <x v="0"/>
    <n v="142.59"/>
    <s v="TARJETA DE CREDITO"/>
    <x v="1"/>
    <s v="SI"/>
    <n v="142.59"/>
  </r>
  <r>
    <n v="1137"/>
    <x v="35"/>
    <s v="SARA DANIELA JIMENEZ"/>
    <s v="sara.jimenez137@outlook.com"/>
    <x v="2"/>
    <s v="ECUADOR"/>
    <x v="9"/>
    <s v="SET DE TOALLAS"/>
    <x v="0"/>
    <n v="57.71"/>
    <s v="TARJETA DE CREDITO"/>
    <x v="2"/>
    <s v="SI"/>
    <n v="57.71"/>
  </r>
  <r>
    <n v="1138"/>
    <x v="36"/>
    <s v="MARIA FERNANDA LOPEZ"/>
    <s v="maria.lopez138@yahoo.com"/>
    <x v="3"/>
    <s v="ECUADOR"/>
    <x v="3"/>
    <s v="PLANCHA"/>
    <x v="0"/>
    <n v="94.65"/>
    <s v="TRANSFERENCIA BANCARIA"/>
    <x v="0"/>
    <s v="SI"/>
    <n v="94.65"/>
  </r>
  <r>
    <n v="1087"/>
    <x v="37"/>
    <s v="JOSE LUIS MARTINEZ"/>
    <s v="jose.martinez87@yahoo.com"/>
    <x v="2"/>
    <s v="ECUADOR"/>
    <x v="0"/>
    <s v="SHAMPOO REPARADOR"/>
    <x v="2"/>
    <n v="157.96"/>
    <s v="PAYPAL"/>
    <x v="1"/>
    <s v="SI"/>
    <n v="315.92"/>
  </r>
  <r>
    <n v="1060"/>
    <x v="38"/>
    <s v="MARIA JOSE SANCHEZ"/>
    <s v="maria.sanchez60@yahoo.com"/>
    <x v="7"/>
    <s v="ECUADOR"/>
    <x v="0"/>
    <s v="CREMA FACIAL"/>
    <x v="1"/>
    <n v="19196"/>
    <s v="TRANSFERENCIA BANCARIA"/>
    <x v="3"/>
    <s v="SI"/>
    <n v="95980"/>
  </r>
  <r>
    <n v="1075"/>
    <x v="39"/>
    <s v="MARIA FERNANDA LOPEZ"/>
    <s v="maria.lopez75@yahoo.com"/>
    <x v="6"/>
    <s v="ECUADOR"/>
    <x v="0"/>
    <s v="PERFUME 100ML"/>
    <x v="1"/>
    <n v="61.38"/>
    <s v="TARJETA DE CREDITO"/>
    <x v="3"/>
    <s v="SI"/>
    <n v="306.90000000000003"/>
  </r>
  <r>
    <n v="1143"/>
    <x v="40"/>
    <s v="SEBASTIAN CAMILO RIOS"/>
    <s v="sebastian.rios143@hotmail.com"/>
    <x v="11"/>
    <s v="ECUADOR"/>
    <x v="9"/>
    <s v="LAMPARA DE MESA"/>
    <x v="2"/>
    <n v="237.31"/>
    <s v="TARJETA DE CREDITO"/>
    <x v="1"/>
    <s v="SI"/>
    <n v="474.62"/>
  </r>
  <r>
    <n v="1148"/>
    <x v="41"/>
    <s v="ANA SOFIA TORRES"/>
    <s v="ana.torres148@outlook.com"/>
    <x v="6"/>
    <s v="ECUADOR"/>
    <x v="2"/>
    <s v="PANTALON JEAN"/>
    <x v="0"/>
    <n v="135.11000000000001"/>
    <s v="TARJETA DE CREDITO"/>
    <x v="4"/>
    <s v="SI"/>
    <n v="135.11000000000001"/>
  </r>
  <r>
    <n v="1115"/>
    <x v="42"/>
    <s v="DIEGO ALEJANDRO CASTRO"/>
    <s v="diego.castro115@outlook.com"/>
    <x v="12"/>
    <s v="ECUADOR"/>
    <x v="0"/>
    <s v="SECADOR DE CABELLO"/>
    <x v="4"/>
    <n v="19516"/>
    <s v="TARJETA DE CREDITO"/>
    <x v="4"/>
    <s v="SI"/>
    <n v="0"/>
  </r>
  <r>
    <n v="1139"/>
    <x v="43"/>
    <s v="SEBASTIAN CAMILO RIOS"/>
    <s v="sebastian.rios139@yahoo.com"/>
    <x v="0"/>
    <s v="ECUADOR"/>
    <x v="8"/>
    <s v="TENIS URBANOS"/>
    <x v="0"/>
    <n v="243.9"/>
    <s v="PAYPAL"/>
    <x v="1"/>
    <s v="SI"/>
    <n v="243.9"/>
  </r>
  <r>
    <n v="1103"/>
    <x v="44"/>
    <s v="ALEJANDRO JOSE REYES"/>
    <s v="alejandro.reyes103@outlook.com"/>
    <x v="8"/>
    <s v="ECUADOR"/>
    <x v="1"/>
    <s v="NOVELA BEST SELLER"/>
    <x v="0"/>
    <n v="99.2"/>
    <s v="PAYPAL"/>
    <x v="3"/>
    <s v="SI"/>
    <n v="99.2"/>
  </r>
  <r>
    <n v="1174"/>
    <x v="45"/>
    <s v="SAMUEL DAVID CORDERO"/>
    <s v="samuel.cordero174@outlook.com"/>
    <x v="2"/>
    <s v="ECUADOR"/>
    <x v="3"/>
    <s v="MICROONDAS"/>
    <x v="2"/>
    <n v="7.24"/>
    <s v="EFECTIVO"/>
    <x v="4"/>
    <s v="SI"/>
    <n v="14.48"/>
  </r>
  <r>
    <n v="1094"/>
    <x v="46"/>
    <s v="ISABELLA SOFIA MENDEZ"/>
    <s v="isabella.mendez94@gmail.com"/>
    <x v="0"/>
    <s v="ECUADOR"/>
    <x v="2"/>
    <s v="CHAQUETA IMPERMEABLE"/>
    <x v="1"/>
    <n v="195.32"/>
    <s v="TARJETA DE CREDITO"/>
    <x v="4"/>
    <s v="SI"/>
    <n v="976.59999999999991"/>
  </r>
  <r>
    <n v="1007"/>
    <x v="47"/>
    <s v="PEDRO PABLO GOMEZ"/>
    <s v="pedro.gomez7@gmail.com"/>
    <x v="12"/>
    <s v="ECUADOR"/>
    <x v="0"/>
    <s v="SET DE MAQUILLAJE"/>
    <x v="0"/>
    <n v="147.97"/>
    <s v="TARJETA DE CREDITO"/>
    <x v="0"/>
    <s v="SI"/>
    <n v="147.97"/>
  </r>
  <r>
    <n v="1145"/>
    <x v="48"/>
    <s v="ANDRES FELIPE VARGAS"/>
    <s v="andres.vargas145@yahoo.com"/>
    <x v="1"/>
    <s v="ECUADOR"/>
    <x v="1"/>
    <s v="CUENTO INFANTIL"/>
    <x v="0"/>
    <m/>
    <s v="TARJETA DE CREDITO"/>
    <x v="2"/>
    <s v="SI"/>
    <m/>
  </r>
  <r>
    <n v="1026"/>
    <x v="40"/>
    <s v="RENATA SOFIA GUZMAN"/>
    <s v="renata.guzman26@hotmail.com"/>
    <x v="12"/>
    <s v="ECUADOR"/>
    <x v="9"/>
    <s v="SET DE TOALLAS"/>
    <x v="2"/>
    <n v="188.62"/>
    <s v="TARJETA DE CREDITO"/>
    <x v="4"/>
    <s v="SI"/>
    <n v="377.24"/>
  </r>
  <r>
    <n v="1018"/>
    <x v="49"/>
    <s v="ANTONELLA MARIA SOTO"/>
    <s v="antonella.soto18@yahoo.com"/>
    <x v="0"/>
    <s v="ECUADOR"/>
    <x v="7"/>
    <s v="GUANTES DE BOXEO"/>
    <x v="0"/>
    <n v="77.69"/>
    <s v="TRANSFERENCIA BANCARIA"/>
    <x v="3"/>
    <s v="SI"/>
    <n v="77.69"/>
  </r>
  <r>
    <n v="1130"/>
    <x v="50"/>
    <s v="EMILIANO RAFAEL NUNEZ"/>
    <s v="emiliano.nunez130@hotmail.com"/>
    <x v="2"/>
    <s v="ECUADOR"/>
    <x v="7"/>
    <s v="GUANTES DE BOXEO"/>
    <x v="0"/>
    <n v="208.12"/>
    <s v="TRANSFERENCIA BANCARIA"/>
    <x v="4"/>
    <s v="SI"/>
    <n v="208.12"/>
  </r>
  <r>
    <n v="1022"/>
    <x v="51"/>
    <s v="JUAN CARLOS PEREZ"/>
    <s v="juan.perez22@gmail.com"/>
    <x v="5"/>
    <s v="ECUADOR"/>
    <x v="3"/>
    <s v="PLANCHA"/>
    <x v="2"/>
    <n v="9553"/>
    <s v="PAGO CONTRA ENTREGA"/>
    <x v="0"/>
    <s v="SI"/>
    <n v="19106"/>
  </r>
  <r>
    <n v="1120"/>
    <x v="52"/>
    <s v="PAULA ANDREA SALAZAR"/>
    <s v="paula.salazar120@yahoo.com"/>
    <x v="12"/>
    <s v="ECUADOR"/>
    <x v="9"/>
    <s v="ORGANIZADOR PLASTICO"/>
    <x v="4"/>
    <n v="204.77"/>
    <s v="TARJETA DE CREDITO"/>
    <x v="3"/>
    <s v="SI"/>
    <n v="0"/>
  </r>
  <r>
    <n v="1059"/>
    <x v="53"/>
    <s v="MATEO DAVID HERRERA"/>
    <s v="mateo.herrera59@yahoo.com"/>
    <x v="7"/>
    <s v="ECUADOR"/>
    <x v="5"/>
    <s v="SNACK SALUDABLE"/>
    <x v="1"/>
    <n v="125.98"/>
    <s v="TARJETA DE CREDITO"/>
    <x v="1"/>
    <s v="SI"/>
    <n v="629.9"/>
  </r>
  <r>
    <n v="1163"/>
    <x v="54"/>
    <s v="GABRIELA ANTONELLA PAZ"/>
    <s v="gabriela.paz163@gmail.com"/>
    <x v="4"/>
    <s v="ECUADOR"/>
    <x v="2"/>
    <s v="PANTALON JEAN"/>
    <x v="2"/>
    <n v="13.23"/>
    <s v="PAYPAL"/>
    <x v="4"/>
    <s v="SI"/>
    <n v="26.46"/>
  </r>
  <r>
    <n v="1047"/>
    <x v="55"/>
    <s v="GABRIELA ANTONELLA PAZ"/>
    <s v="gabriela.paz47@hotmail.com"/>
    <x v="1"/>
    <s v="ECUADOR"/>
    <x v="7"/>
    <s v="BICICLETA ESTATICA"/>
    <x v="0"/>
    <n v="213.67"/>
    <s v="TARJETA DE CREDITO"/>
    <x v="2"/>
    <s v="SI"/>
    <n v="213.67"/>
  </r>
  <r>
    <n v="1166"/>
    <x v="2"/>
    <s v="CAMILA ANDREA MORENO"/>
    <s v="camila.moreno166@hotmail.com"/>
    <x v="11"/>
    <s v="ECUADOR"/>
    <x v="6"/>
    <s v="CARRO A CONTROL REMOTO"/>
    <x v="2"/>
    <n v="7847"/>
    <s v="TRANSFERENCIA BANCARIA"/>
    <x v="1"/>
    <s v="SI"/>
    <n v="15694"/>
  </r>
  <r>
    <n v="1136"/>
    <x v="56"/>
    <s v="SANTIAGO NICOLAS ORTIZ"/>
    <s v="santiago.ortiz136@outlook.com"/>
    <x v="6"/>
    <s v="ECUADOR"/>
    <x v="2"/>
    <s v="PANTALON JEAN"/>
    <x v="0"/>
    <n v="18168"/>
    <s v="TARJETA DE CREDITO"/>
    <x v="1"/>
    <s v="SI"/>
    <n v="18168"/>
  </r>
  <r>
    <n v="1066"/>
    <x v="57"/>
    <s v="SAMUEL DAVID CORDERO"/>
    <s v="samuel.cordero66@outlook.com"/>
    <x v="9"/>
    <s v="ECUADOR"/>
    <x v="6"/>
    <s v="CARRO A CONTROL REMOTO"/>
    <x v="0"/>
    <n v="78.150000000000006"/>
    <s v="TRANSFERENCIA BANCARIA"/>
    <x v="1"/>
    <s v="SI"/>
    <n v="78.150000000000006"/>
  </r>
  <r>
    <n v="1065"/>
    <x v="58"/>
    <s v="ANTONELLA MARIA SOTO"/>
    <s v="antonella.soto65@hotmail.com"/>
    <x v="7"/>
    <s v="ECUADOR"/>
    <x v="6"/>
    <s v="CARRO A CONTROL REMOTO"/>
    <x v="2"/>
    <n v="24516"/>
    <s v="TRANSFERENCIA BANCARIA"/>
    <x v="4"/>
    <s v="SI"/>
    <n v="49032"/>
  </r>
  <r>
    <n v="1028"/>
    <x v="59"/>
    <s v="ALEJANDRO JOSE REYES"/>
    <s v="alejandro.reyes28@outlook.com"/>
    <x v="12"/>
    <s v="ECUADOR"/>
    <x v="4"/>
    <s v="SMARTWATCH"/>
    <x v="2"/>
    <n v="216.77"/>
    <s v="TARJETA DE CREDITO"/>
    <x v="1"/>
    <s v="SI"/>
    <n v="433.54"/>
  </r>
  <r>
    <n v="1012"/>
    <x v="20"/>
    <s v="LAURA VALENTINA DIAZ"/>
    <s v="laura.diaz12@yahoo.com"/>
    <x v="8"/>
    <s v="ECUADOR"/>
    <x v="0"/>
    <s v="PERFUME 100ML"/>
    <x v="5"/>
    <n v="190.04"/>
    <s v="PAYPAL"/>
    <x v="2"/>
    <s v="SI"/>
    <n v="760.16"/>
  </r>
  <r>
    <n v="1158"/>
    <x v="60"/>
    <s v="ANA SOFIA TORRES"/>
    <s v="ana.torres158@outlook.com"/>
    <x v="7"/>
    <s v="ECUADOR"/>
    <x v="5"/>
    <s v="TE PREMIUM"/>
    <x v="0"/>
    <n v="130.04"/>
    <s v="EFECTIVO"/>
    <x v="4"/>
    <s v="SI"/>
    <n v="130.04"/>
  </r>
  <r>
    <n v="1165"/>
    <x v="61"/>
    <s v="MIGUEL ANGEL CHAVEZ"/>
    <s v="miguel.chavez165@outlook.com"/>
    <x v="3"/>
    <s v="ECUADOR"/>
    <x v="2"/>
    <s v="VESTIDO CASUAL"/>
    <x v="1"/>
    <n v="141.4"/>
    <s v="PAYPAL"/>
    <x v="4"/>
    <s v="SI"/>
    <n v="707"/>
  </r>
  <r>
    <n v="1055"/>
    <x v="62"/>
    <s v="VALERIA XIMENA CRUZ"/>
    <s v="valeria.cruz55@outlook.com"/>
    <x v="4"/>
    <s v="ECUADOR"/>
    <x v="0"/>
    <s v="SECADOR DE CABELLO"/>
    <x v="0"/>
    <n v="133.03"/>
    <s v="EFECTIVO"/>
    <x v="2"/>
    <s v="SI"/>
    <n v="133.03"/>
  </r>
  <r>
    <n v="1072"/>
    <x v="63"/>
    <s v="ISABELLA SOFIA MENDEZ"/>
    <s v="isabella.mendez72@outlook.com"/>
    <x v="6"/>
    <s v="ECUADOR"/>
    <x v="2"/>
    <s v="PANTALON JEAN"/>
    <x v="2"/>
    <n v="98.72"/>
    <s v="EFECTIVO"/>
    <x v="0"/>
    <s v="SI"/>
    <n v="197.44"/>
  </r>
  <r>
    <n v="1005"/>
    <x v="64"/>
    <s v="MARTINA LUCIA FUENTES"/>
    <s v="martina.fuentes5@gmail.com"/>
    <x v="12"/>
    <s v="ECUADOR"/>
    <x v="7"/>
    <s v="BICICLETA ESTATICA"/>
    <x v="1"/>
    <n v="161.80000000000001"/>
    <s v="TRANSFERENCIA BANCARIA"/>
    <x v="1"/>
    <s v="SI"/>
    <n v="809"/>
  </r>
  <r>
    <n v="1078"/>
    <x v="65"/>
    <s v="JOSE LUIS MARTINEZ"/>
    <s v="jose.martinez78@yahoo.com"/>
    <x v="3"/>
    <s v="ECUADOR"/>
    <x v="1"/>
    <s v="LIBRO DE AUTOAYUDA"/>
    <x v="4"/>
    <n v="198.72"/>
    <s v="TRANSFERENCIA BANCARIA"/>
    <x v="4"/>
    <s v="SI"/>
    <n v="0"/>
  </r>
  <r>
    <n v="1021"/>
    <x v="36"/>
    <s v="DIEGO ALEJANDRO CASTRO"/>
    <s v="diego.castro21@gmail.com"/>
    <x v="9"/>
    <s v="ECUADOR"/>
    <x v="1"/>
    <s v="CUENTO INFANTIL"/>
    <x v="0"/>
    <n v="189.21"/>
    <s v="EFECTIVO"/>
    <x v="0"/>
    <s v="SI"/>
    <n v="189.21"/>
  </r>
  <r>
    <n v="1144"/>
    <x v="66"/>
    <s v="ISABELLA SOFIA MENDEZ"/>
    <s v="isabella.mendez144@hotmail.com"/>
    <x v="5"/>
    <s v="ECUADOR"/>
    <x v="6"/>
    <s v="SET DE BLOQUES"/>
    <x v="3"/>
    <n v="142.41999999999999"/>
    <s v="EFECTIVO"/>
    <x v="0"/>
    <s v="SI"/>
    <n v="427.26"/>
  </r>
  <r>
    <n v="1031"/>
    <x v="67"/>
    <s v="RENATA SOFIA GUZMAN"/>
    <s v="renata.guzman31@hotmail.com"/>
    <x v="10"/>
    <s v="ECUADOR"/>
    <x v="9"/>
    <s v="JUEGO DE SABANAS"/>
    <x v="1"/>
    <n v="168.39"/>
    <s v="PAYPAL"/>
    <x v="2"/>
    <s v="SI"/>
    <n v="841.94999999999993"/>
  </r>
  <r>
    <n v="1013"/>
    <x v="64"/>
    <s v="MATEO DAVID HERRERA"/>
    <s v="mateo.herrera13@gmail.com"/>
    <x v="3"/>
    <s v="ECUADOR"/>
    <x v="2"/>
    <s v="CAMISETA ALGODON"/>
    <x v="2"/>
    <n v="140.71"/>
    <s v="TARJETA DE CREDITO"/>
    <x v="4"/>
    <s v="SI"/>
    <n v="281.42"/>
  </r>
  <r>
    <n v="1010"/>
    <x v="68"/>
    <s v="GABRIELA ANTONELLA PAZ"/>
    <s v="gabriela.paz10@gmail.com"/>
    <x v="12"/>
    <s v="ECUADOR"/>
    <x v="9"/>
    <s v="LAMPARA DE MESA"/>
    <x v="4"/>
    <n v="231"/>
    <s v="TRANSFERENCIA BANCARIA"/>
    <x v="1"/>
    <s v="SI"/>
    <n v="0"/>
  </r>
  <r>
    <n v="1113"/>
    <x v="69"/>
    <s v="ALEJANDRO JOSE REYES"/>
    <s v="alejandro.reyes113@yahoo.com"/>
    <x v="0"/>
    <s v="ECUADOR"/>
    <x v="4"/>
    <s v="PARLANTE PORTATIL"/>
    <x v="0"/>
    <n v="96.62"/>
    <s v="TARJETA DE CREDITO"/>
    <x v="1"/>
    <s v="SI"/>
    <n v="96.62"/>
  </r>
  <r>
    <n v="1105"/>
    <x v="70"/>
    <s v="TOMAS IGNACIO AGUILAR"/>
    <s v="tomas.aguilar105@gmail.com"/>
    <x v="0"/>
    <s v="ECUADOR"/>
    <x v="6"/>
    <s v="PELUCHE GRANDE"/>
    <x v="0"/>
    <m/>
    <s v="EFECTIVO"/>
    <x v="1"/>
    <s v="SI"/>
    <m/>
  </r>
  <r>
    <n v="1155"/>
    <x v="71"/>
    <s v="LAURA VALENTINA DIAZ"/>
    <s v="laura.diaz155@outlook.com"/>
    <x v="9"/>
    <s v="ECUADOR"/>
    <x v="5"/>
    <s v="MIEL DE ABEJA"/>
    <x v="2"/>
    <n v="235.46"/>
    <s v="TARJETA DE CREDITO"/>
    <x v="2"/>
    <s v="SI"/>
    <n v="470.92"/>
  </r>
  <r>
    <n v="1089"/>
    <x v="72"/>
    <s v="MARTINA LUCIA FUENTES"/>
    <s v="martina.fuentes89@gmail.com"/>
    <x v="3"/>
    <s v="ECUADOR"/>
    <x v="7"/>
    <s v="COLCHONETA YOGA"/>
    <x v="1"/>
    <n v="42.4"/>
    <s v="TARJETA DE CREDITO"/>
    <x v="4"/>
    <s v="SI"/>
    <n v="212"/>
  </r>
  <r>
    <n v="1131"/>
    <x v="15"/>
    <s v="ANTONELLA MARIA SOTO"/>
    <s v="antonella.soto131@gmail.com"/>
    <x v="2"/>
    <s v="ECUADOR"/>
    <x v="6"/>
    <s v="MUNECA INTERACTIVA"/>
    <x v="1"/>
    <n v="84.05"/>
    <s v="EFECTIVO"/>
    <x v="0"/>
    <s v="SI"/>
    <n v="420.25"/>
  </r>
  <r>
    <n v="1004"/>
    <x v="73"/>
    <s v="JOSE LUIS MARTINEZ"/>
    <s v="jose.martinez4@gmail.com"/>
    <x v="12"/>
    <s v="ECUADOR"/>
    <x v="9"/>
    <s v="ORGANIZADOR PLASTICO"/>
    <x v="0"/>
    <n v="94.38"/>
    <s v="TARJETA DE CREDITO"/>
    <x v="3"/>
    <s v="SI"/>
    <n v="94.38"/>
  </r>
  <r>
    <n v="1069"/>
    <x v="74"/>
    <s v="ANTONELLA MARIA SOTO"/>
    <s v="antonella.soto69@outlook.com"/>
    <x v="0"/>
    <s v="ECUADOR"/>
    <x v="5"/>
    <s v="CHOCOLATE ARTESANAL"/>
    <x v="2"/>
    <n v="242.64"/>
    <s v="PAYPAL"/>
    <x v="2"/>
    <s v="SI"/>
    <n v="485.28"/>
  </r>
  <r>
    <n v="1172"/>
    <x v="75"/>
    <s v="ANDRES FELIPE VARGAS"/>
    <s v="andres.vargas172@outlook.com"/>
    <x v="12"/>
    <s v="ECUADOR"/>
    <x v="0"/>
    <s v="SHAMPOO REPARADOR"/>
    <x v="0"/>
    <n v="236.15"/>
    <s v="PAYPAL"/>
    <x v="1"/>
    <s v="SI"/>
    <n v="236.15"/>
  </r>
  <r>
    <n v="1169"/>
    <x v="76"/>
    <s v="DANIELA FERNANDA VEGA"/>
    <s v="daniela.vega169@hotmail.com"/>
    <x v="10"/>
    <s v="ECUADOR"/>
    <x v="4"/>
    <s v="SMARTWATCH"/>
    <x v="5"/>
    <n v="33.74"/>
    <s v="EFECTIVO"/>
    <x v="2"/>
    <s v="SI"/>
    <n v="134.96"/>
  </r>
  <r>
    <n v="1132"/>
    <x v="77"/>
    <s v="EMILIANO RAFAEL NUNEZ"/>
    <s v="emiliano.nunez132@yahoo.com"/>
    <x v="1"/>
    <s v="ECUADOR"/>
    <x v="3"/>
    <s v="PLANCHA"/>
    <x v="0"/>
    <n v="12813"/>
    <s v="TRANSFERENCIA BANCARIA"/>
    <x v="4"/>
    <s v="SI"/>
    <n v="12813"/>
  </r>
  <r>
    <n v="1141"/>
    <x v="78"/>
    <s v="ANDRES FELIPE VARGAS"/>
    <s v="andres.vargas141@gmail.com"/>
    <x v="3"/>
    <s v="ECUADOR"/>
    <x v="0"/>
    <s v="SET DE MAQUILLAJE"/>
    <x v="0"/>
    <n v="207.93"/>
    <s v="PAYPAL"/>
    <x v="0"/>
    <s v="SI"/>
    <n v="207.93"/>
  </r>
  <r>
    <n v="1061"/>
    <x v="48"/>
    <s v="ISABELLA SOFIA MENDEZ"/>
    <s v="isabella.mendez61@outlook.com"/>
    <x v="11"/>
    <s v="ECUADOR"/>
    <x v="4"/>
    <s v="PARLANTE PORTATIL"/>
    <x v="0"/>
    <n v="83.66"/>
    <s v="TARJETA DE CREDITO"/>
    <x v="1"/>
    <s v="SI"/>
    <n v="83.66"/>
  </r>
  <r>
    <n v="1057"/>
    <x v="79"/>
    <s v="MATEO DAVID HERRERA"/>
    <s v="mateo.herrera57@yahoo.com"/>
    <x v="7"/>
    <s v="ECUADOR"/>
    <x v="6"/>
    <s v="CARRO A CONTROL REMOTO"/>
    <x v="0"/>
    <n v="178.2"/>
    <s v="EFECTIVO"/>
    <x v="4"/>
    <s v="SI"/>
    <n v="178.2"/>
  </r>
  <r>
    <n v="1009"/>
    <x v="4"/>
    <s v="ANA SOFIA TORRES"/>
    <s v="ana.torres9@gmail.com"/>
    <x v="8"/>
    <s v="ECUADOR"/>
    <x v="2"/>
    <s v="VESTIDO CASUAL"/>
    <x v="0"/>
    <m/>
    <s v="TRANSFERENCIA BANCARIA"/>
    <x v="4"/>
    <s v="SI"/>
    <m/>
  </r>
  <r>
    <n v="1048"/>
    <x v="80"/>
    <s v="GABRIELA ANTONELLA PAZ"/>
    <s v="gabriela.paz48@yahoo.com"/>
    <x v="7"/>
    <s v="ECUADOR"/>
    <x v="9"/>
    <s v="JUEGO DE SABANAS"/>
    <x v="0"/>
    <n v="4955"/>
    <s v="PAYPAL"/>
    <x v="2"/>
    <s v="SI"/>
    <n v="4955"/>
  </r>
  <r>
    <n v="1129"/>
    <x v="81"/>
    <s v="PAULA ANDREA SALAZAR"/>
    <s v="paula.salazar129@gmail.com"/>
    <x v="1"/>
    <s v="ECUADOR"/>
    <x v="0"/>
    <s v="CREMA FACIAL"/>
    <x v="2"/>
    <n v="249.9"/>
    <s v="TRANSFERENCIA BANCARIA"/>
    <x v="1"/>
    <s v="SI"/>
    <n v="499.8"/>
  </r>
  <r>
    <n v="1091"/>
    <x v="82"/>
    <s v="GABRIELA ANTONELLA PAZ"/>
    <s v="gabriela.paz91@yahoo.com"/>
    <x v="8"/>
    <s v="ECUADOR"/>
    <x v="3"/>
    <s v="VENTILADOR"/>
    <x v="4"/>
    <n v="1659"/>
    <s v="TARJETA DE CREDITO"/>
    <x v="1"/>
    <s v="SI"/>
    <n v="0"/>
  </r>
  <r>
    <n v="1171"/>
    <x v="83"/>
    <s v="CAMILA ANDREA MORENO"/>
    <s v="camila.moreno171@yahoo.com"/>
    <x v="10"/>
    <s v="ECUADOR"/>
    <x v="4"/>
    <s v="MOUSE INALAMBRICO"/>
    <x v="5"/>
    <n v="8.9700000000000006"/>
    <s v="TRANSFERENCIA BANCARIA"/>
    <x v="0"/>
    <s v="SI"/>
    <n v="35.880000000000003"/>
  </r>
  <r>
    <n v="1154"/>
    <x v="84"/>
    <s v="SANTIAGO NICOLAS ORTIZ"/>
    <s v="santiago.ortiz154@gmail.com"/>
    <x v="12"/>
    <s v="ECUADOR"/>
    <x v="8"/>
    <s v="SANDALIAS"/>
    <x v="1"/>
    <m/>
    <s v="EFECTIVO"/>
    <x v="3"/>
    <s v="SI"/>
    <m/>
  </r>
  <r>
    <n v="1032"/>
    <x v="84"/>
    <s v="RENATA SOFIA GUZMAN"/>
    <s v="renata.guzman32@yahoo.com"/>
    <x v="4"/>
    <s v="ECUADOR"/>
    <x v="0"/>
    <s v="SECADOR DE CABELLO"/>
    <x v="1"/>
    <n v="209.26"/>
    <s v="TARJETA DE CREDITO"/>
    <x v="1"/>
    <s v="SI"/>
    <n v="1046.3"/>
  </r>
  <r>
    <n v="1030"/>
    <x v="85"/>
    <s v="JUAN CARLOS PEREZ"/>
    <s v="juan.perez30@yahoo.com"/>
    <x v="8"/>
    <s v="ECUADOR"/>
    <x v="5"/>
    <s v="SNACK SALUDABLE"/>
    <x v="0"/>
    <n v="202.6"/>
    <s v="PAYPAL"/>
    <x v="3"/>
    <s v="SI"/>
    <n v="202.6"/>
  </r>
  <r>
    <n v="1038"/>
    <x v="67"/>
    <s v="JOSE LUIS MARTINEZ"/>
    <s v="jose.martinez38@hotmail.com"/>
    <x v="3"/>
    <s v="ECUADOR"/>
    <x v="2"/>
    <s v="VESTIDO CASUAL"/>
    <x v="3"/>
    <n v="20.74"/>
    <s v="TRANSFERENCIA BANCARIA"/>
    <x v="1"/>
    <s v="SI"/>
    <n v="62.22"/>
  </r>
  <r>
    <n v="1142"/>
    <x v="86"/>
    <s v="RENATA SOFIA GUZMAN"/>
    <s v="renata.guzman142@gmail.com"/>
    <x v="3"/>
    <s v="ECUADOR"/>
    <x v="0"/>
    <s v="SET DE MAQUILLAJE"/>
    <x v="0"/>
    <n v="70.05"/>
    <s v="PAYPAL"/>
    <x v="0"/>
    <s v="SI"/>
    <n v="70.05"/>
  </r>
  <r>
    <n v="1017"/>
    <x v="87"/>
    <s v="ANA SOFIA TORRES"/>
    <s v="ana.torres17@gmail.com"/>
    <x v="2"/>
    <s v="ECUADOR"/>
    <x v="4"/>
    <s v="AUDIFONOS BLUETOOTH"/>
    <x v="5"/>
    <n v="12398"/>
    <s v="EFECTIVO"/>
    <x v="4"/>
    <s v="SI"/>
    <n v="49592"/>
  </r>
  <r>
    <n v="1168"/>
    <x v="88"/>
    <s v="VALERIA XIMENA CRUZ"/>
    <s v="valeria.cruz168@hotmail.com"/>
    <x v="4"/>
    <s v="ECUADOR"/>
    <x v="4"/>
    <s v="CARGADOR USB-C"/>
    <x v="2"/>
    <n v="152.72"/>
    <s v="TARJETA DE CREDITO"/>
    <x v="0"/>
    <s v="SI"/>
    <n v="305.44"/>
  </r>
  <r>
    <n v="1086"/>
    <x v="89"/>
    <s v="MARIA JOSE SANCHEZ"/>
    <s v="maria.sanchez86@gmail.com"/>
    <x v="6"/>
    <s v="ECUADOR"/>
    <x v="5"/>
    <s v="TE PREMIUM"/>
    <x v="1"/>
    <n v="241.19"/>
    <s v="EFECTIVO"/>
    <x v="1"/>
    <s v="SI"/>
    <n v="1205.95"/>
  </r>
  <r>
    <n v="1143"/>
    <x v="40"/>
    <s v="SEBASTIAN CAMILO RIOS"/>
    <s v="sebastian.rios143@hotmail.com"/>
    <x v="11"/>
    <s v="ECUADOR"/>
    <x v="9"/>
    <s v="LAMPARA DE MESA"/>
    <x v="2"/>
    <n v="237.31"/>
    <s v="TARJETA DE CREDITO"/>
    <x v="1"/>
    <s v="SI"/>
    <n v="474.62"/>
  </r>
  <r>
    <n v="1104"/>
    <x v="90"/>
    <s v="GABRIELA ANTONELLA PAZ"/>
    <s v="gabriela.paz104@hotmail.com"/>
    <x v="5"/>
    <s v="ECUADOR"/>
    <x v="3"/>
    <s v="LICUADORA"/>
    <x v="0"/>
    <n v="225.29"/>
    <s v="PAYPAL"/>
    <x v="4"/>
    <s v="SI"/>
    <n v="225.29"/>
  </r>
  <r>
    <n v="1008"/>
    <x v="91"/>
    <s v="EMILIANO RAFAEL NUNEZ"/>
    <s v="emiliano.nunez8@gmail.com"/>
    <x v="3"/>
    <s v="ECUADOR"/>
    <x v="0"/>
    <s v="CREMA FACIAL"/>
    <x v="2"/>
    <n v="249.05"/>
    <s v="TRANSFERENCIA BANCARIA"/>
    <x v="4"/>
    <s v="SI"/>
    <n v="498.1"/>
  </r>
  <r>
    <n v="1088"/>
    <x v="92"/>
    <s v="GABRIELA ANTONELLA PAZ"/>
    <s v="gabriela.paz88@outlook.com"/>
    <x v="9"/>
    <s v="ECUADOR"/>
    <x v="5"/>
    <s v="CAFE ORGANICO 500G"/>
    <x v="4"/>
    <n v="57.68"/>
    <s v="TARJETA DE CREDITO"/>
    <x v="1"/>
    <s v="SI"/>
    <n v="0"/>
  </r>
  <r>
    <n v="1106"/>
    <x v="93"/>
    <s v="ANDRES FELIPE VARGAS"/>
    <s v="andres.vargas106@hotmail.com"/>
    <x v="3"/>
    <s v="ECUADOR"/>
    <x v="1"/>
    <s v="LIBRO DE AUTOAYUDA"/>
    <x v="1"/>
    <n v="213.63"/>
    <s v="TRANSFERENCIA BANCARIA"/>
    <x v="4"/>
    <s v="SI"/>
    <n v="1068.1500000000001"/>
  </r>
  <r>
    <n v="1179"/>
    <x v="94"/>
    <s v="MIGUEL ANGEL CHAVEZ"/>
    <s v="miguel.chavez179@outlook.com"/>
    <x v="1"/>
    <s v="ECUADOR"/>
    <x v="1"/>
    <s v="NOVELA BEST SELLER"/>
    <x v="3"/>
    <n v="82.05"/>
    <s v="TRANSFERENCIA BANCARIA"/>
    <x v="4"/>
    <s v="SI"/>
    <n v="246.14999999999998"/>
  </r>
  <r>
    <n v="1102"/>
    <x v="49"/>
    <s v="PEDRO PABLO GOMEZ"/>
    <s v="pedro.gomez102@gmail.com"/>
    <x v="0"/>
    <s v="ECUADOR"/>
    <x v="6"/>
    <s v="ROMPECABEZAS 500 PIEZAS"/>
    <x v="1"/>
    <n v="149.9"/>
    <s v="TARJETA DE CREDITO"/>
    <x v="2"/>
    <s v="SI"/>
    <n v="749.5"/>
  </r>
  <r>
    <n v="1153"/>
    <x v="95"/>
    <s v="DANIELA FERNANDA VEGA"/>
    <s v="daniela.vega153@hotmail.com"/>
    <x v="11"/>
    <s v="ECUADOR"/>
    <x v="7"/>
    <s v="GUANTES DE BOXEO"/>
    <x v="0"/>
    <n v="16897"/>
    <s v="TARJETA DE CREDITO"/>
    <x v="1"/>
    <s v="SI"/>
    <n v="16897"/>
  </r>
  <r>
    <n v="1053"/>
    <x v="96"/>
    <s v="VALERIA XIMENA CRUZ"/>
    <s v="valeria.cruz53@gmail.com"/>
    <x v="8"/>
    <s v="ECUADOR"/>
    <x v="1"/>
    <s v="LIBRO DE AUTOAYUDA"/>
    <x v="2"/>
    <n v="145.65"/>
    <s v="EFECTIVO"/>
    <x v="1"/>
    <s v="SI"/>
    <n v="291.3"/>
  </r>
  <r>
    <n v="1118"/>
    <x v="97"/>
    <s v="DIEGO ALEJANDRO CASTRO"/>
    <s v="diego.castro118@hotmail.com"/>
    <x v="4"/>
    <s v="ECUADOR"/>
    <x v="9"/>
    <s v="JUEGO DE SABANAS"/>
    <x v="0"/>
    <n v="165.99"/>
    <s v="TRANSFERENCIA BANCARIA"/>
    <x v="3"/>
    <s v="SI"/>
    <n v="165.99"/>
  </r>
  <r>
    <n v="1006"/>
    <x v="98"/>
    <s v="PAULA ANDREA SALAZAR"/>
    <s v="paula.salazar6@outlook.com"/>
    <x v="10"/>
    <s v="ECUADOR"/>
    <x v="8"/>
    <s v="ZAPATILLAS RUNNING"/>
    <x v="5"/>
    <n v="143.96"/>
    <s v="TARJETA DE CREDITO"/>
    <x v="3"/>
    <s v="SI"/>
    <n v="575.84"/>
  </r>
  <r>
    <n v="1046"/>
    <x v="99"/>
    <s v="EMILIANO RAFAEL NUNEZ"/>
    <s v="emiliano.nunez46@hotmail.com"/>
    <x v="10"/>
    <s v="ECUADOR"/>
    <x v="7"/>
    <s v="BICICLETA ESTATICA"/>
    <x v="2"/>
    <n v="93.74"/>
    <s v="EFECTIVO"/>
    <x v="3"/>
    <s v="SI"/>
    <n v="187.48"/>
  </r>
  <r>
    <n v="1147"/>
    <x v="100"/>
    <s v="SAMUEL DAVID CORDERO"/>
    <s v="samuel.cordero147@yahoo.com"/>
    <x v="3"/>
    <s v="ECUADOR"/>
    <x v="4"/>
    <s v="CARGADOR USB-C"/>
    <x v="2"/>
    <m/>
    <s v="EFECTIVO"/>
    <x v="2"/>
    <s v="SI"/>
    <m/>
  </r>
  <r>
    <n v="1029"/>
    <x v="24"/>
    <s v="ANA SOFIA TORRES"/>
    <s v="ana.torres29@gmail.com"/>
    <x v="8"/>
    <s v="ECUADOR"/>
    <x v="0"/>
    <s v="SET DE MAQUILLAJE"/>
    <x v="0"/>
    <n v="111.47"/>
    <s v="EFECTIVO"/>
    <x v="1"/>
    <s v="SI"/>
    <n v="111.47"/>
  </r>
  <r>
    <n v="1100"/>
    <x v="101"/>
    <s v="MARIA JOSE SANCHEZ"/>
    <s v="maria.sanchez100@hotmail.com"/>
    <x v="10"/>
    <s v="ECUADOR"/>
    <x v="4"/>
    <s v="MOUSE INALAMBRICO"/>
    <x v="2"/>
    <n v="52.51"/>
    <s v="EFECTIVO"/>
    <x v="3"/>
    <s v="SI"/>
    <n v="105.02"/>
  </r>
  <r>
    <n v="1071"/>
    <x v="102"/>
    <s v="ANA SOFIA TORRES"/>
    <s v="ana.torres71@hotmail.com"/>
    <x v="4"/>
    <s v="ECUADOR"/>
    <x v="7"/>
    <s v="MANCUERNAS 5KG"/>
    <x v="1"/>
    <n v="16.27"/>
    <s v="TARJETA DE CREDITO"/>
    <x v="1"/>
    <s v="SI"/>
    <n v="81.349999999999994"/>
  </r>
  <r>
    <n v="1096"/>
    <x v="8"/>
    <s v="RENATA SOFIA GUZMAN"/>
    <s v="renata.guzman96@yahoo.com"/>
    <x v="8"/>
    <s v="ECUADOR"/>
    <x v="2"/>
    <s v="VESTIDO CASUAL"/>
    <x v="0"/>
    <n v="55.08"/>
    <s v="PAYPAL"/>
    <x v="4"/>
    <s v="SI"/>
    <n v="55.08"/>
  </r>
  <r>
    <n v="1083"/>
    <x v="77"/>
    <s v="MARIA FERNANDA LOPEZ"/>
    <s v="maria.lopez83@hotmail.com"/>
    <x v="2"/>
    <s v="ECUADOR"/>
    <x v="2"/>
    <s v="PANTALON JEAN"/>
    <x v="0"/>
    <n v="208.31"/>
    <s v="TRANSFERENCIA BANCARIA"/>
    <x v="2"/>
    <s v="SI"/>
    <n v="208.31"/>
  </r>
  <r>
    <n v="1062"/>
    <x v="6"/>
    <s v="ALEJANDRO JOSE REYES"/>
    <s v="alejandro.reyes62@gmail.com"/>
    <x v="4"/>
    <s v="ECUADOR"/>
    <x v="4"/>
    <s v="PARLANTE PORTATIL"/>
    <x v="2"/>
    <n v="84.2"/>
    <s v="EFECTIVO"/>
    <x v="0"/>
    <s v="SI"/>
    <n v="168.4"/>
  </r>
  <r>
    <n v="1125"/>
    <x v="103"/>
    <s v="PEDRO PABLO GOMEZ"/>
    <s v="pedro.gomez125@hotmail.com"/>
    <x v="7"/>
    <s v="ECUADOR"/>
    <x v="9"/>
    <s v="ORGANIZADOR PLASTICO"/>
    <x v="0"/>
    <n v="145.61000000000001"/>
    <s v="EFECTIVO"/>
    <x v="1"/>
    <s v="SI"/>
    <n v="145.61000000000001"/>
  </r>
  <r>
    <n v="1081"/>
    <x v="101"/>
    <s v="ISABELLA SOFIA MENDEZ"/>
    <s v="isabella.mendez81@outlook.com"/>
    <x v="6"/>
    <s v="ECUADOR"/>
    <x v="7"/>
    <s v="BALON DE FUTBOL"/>
    <x v="0"/>
    <m/>
    <s v="PAYPAL"/>
    <x v="1"/>
    <s v="SI"/>
    <m/>
  </r>
  <r>
    <n v="1164"/>
    <x v="104"/>
    <s v="MARIA JOSE SANCHEZ"/>
    <s v="maria.sanchez164@yahoo.com"/>
    <x v="1"/>
    <s v="ECUADOR"/>
    <x v="4"/>
    <s v="SMARTWATCH"/>
    <x v="4"/>
    <n v="62.37"/>
    <s v="TRANSFERENCIA BANCARIA"/>
    <x v="1"/>
    <s v="SI"/>
    <n v="0"/>
  </r>
  <r>
    <n v="1045"/>
    <x v="2"/>
    <s v="TOMAS IGNACIO AGUILAR"/>
    <s v="tomas.aguilar45@yahoo.com"/>
    <x v="11"/>
    <s v="ECUADOR"/>
    <x v="3"/>
    <s v="PLANCHA"/>
    <x v="0"/>
    <n v="200.08"/>
    <s v="TARJETA DE CREDITO"/>
    <x v="1"/>
    <s v="SI"/>
    <n v="200.08"/>
  </r>
  <r>
    <n v="1080"/>
    <x v="105"/>
    <s v="EMILIANO RAFAEL NUNEZ"/>
    <s v="emiliano.nunez80@outlook.com"/>
    <x v="9"/>
    <s v="ECUADOR"/>
    <x v="3"/>
    <s v="LICUADORA"/>
    <x v="0"/>
    <n v="125.69"/>
    <s v="PAGO CONTRA ENTREGA"/>
    <x v="0"/>
    <s v="SI"/>
    <n v="125.69"/>
  </r>
  <r>
    <n v="1122"/>
    <x v="106"/>
    <s v="JOSE LUIS MARTINEZ"/>
    <s v="jose.martinez122@outlook.com"/>
    <x v="9"/>
    <s v="ECUADOR"/>
    <x v="2"/>
    <s v="SUDADERA"/>
    <x v="1"/>
    <n v="24.62"/>
    <s v="TARJETA DE CREDITO"/>
    <x v="1"/>
    <s v="SI"/>
    <n v="123.10000000000001"/>
  </r>
  <r>
    <n v="1051"/>
    <x v="107"/>
    <s v="DIEGO ALEJANDRO CASTRO"/>
    <s v="diego.castro51@outlook.com"/>
    <x v="12"/>
    <s v="ECUADOR"/>
    <x v="5"/>
    <s v="CHOCOLATE ARTESANAL"/>
    <x v="0"/>
    <n v="136.29"/>
    <s v="TARJETA DE CREDITO"/>
    <x v="2"/>
    <s v="SI"/>
    <n v="136.29"/>
  </r>
  <r>
    <n v="1167"/>
    <x v="105"/>
    <s v="PAULA ANDREA SALAZAR"/>
    <s v="paula.salazar167@outlook.com"/>
    <x v="0"/>
    <s v="ECUADOR"/>
    <x v="0"/>
    <s v="PERFUME 100ML"/>
    <x v="2"/>
    <n v="3785"/>
    <s v="TARJETA DE CREDITO"/>
    <x v="1"/>
    <s v="SI"/>
    <n v="7570"/>
  </r>
  <r>
    <n v="1110"/>
    <x v="108"/>
    <s v="ISABELLA SOFIA MENDEZ"/>
    <s v="isabella.mendez110@outlook.com"/>
    <x v="10"/>
    <s v="ECUADOR"/>
    <x v="7"/>
    <s v="GUANTES DE BOXEO"/>
    <x v="1"/>
    <n v="19703"/>
    <s v="TARJETA DE CREDITO"/>
    <x v="2"/>
    <s v="SI"/>
    <n v="98515"/>
  </r>
  <r>
    <n v="1156"/>
    <x v="109"/>
    <s v="MARTINA LUCIA FUENTES"/>
    <s v="martina.fuentes156@gmail.com"/>
    <x v="6"/>
    <s v="ECUADOR"/>
    <x v="7"/>
    <s v="GUANTES DE BOXEO"/>
    <x v="0"/>
    <n v="201.49"/>
    <s v="PAYPAL"/>
    <x v="2"/>
    <s v="SI"/>
    <n v="201.49"/>
  </r>
  <r>
    <n v="1112"/>
    <x v="110"/>
    <s v="DANIELA FERNANDA VEGA"/>
    <s v="daniela.vega112@outlook.com"/>
    <x v="10"/>
    <s v="ECUADOR"/>
    <x v="3"/>
    <s v="VENTILADOR"/>
    <x v="2"/>
    <m/>
    <s v="PAGO CONTRA ENTREGA"/>
    <x v="0"/>
    <s v="SI"/>
    <m/>
  </r>
  <r>
    <n v="1084"/>
    <x v="111"/>
    <s v="PAULA ANDREA SALAZAR"/>
    <s v="paula.salazar84@yahoo.com"/>
    <x v="6"/>
    <s v="ECUADOR"/>
    <x v="8"/>
    <s v="BOTAS DE CUERO"/>
    <x v="3"/>
    <n v="200.64"/>
    <s v="PAGO CONTRA ENTREGA"/>
    <x v="4"/>
    <s v="SI"/>
    <n v="601.91999999999996"/>
  </r>
  <r>
    <n v="1105"/>
    <x v="70"/>
    <s v="TOMAS IGNACIO AGUILAR"/>
    <s v="tomas.aguilar105@gmail.com"/>
    <x v="0"/>
    <s v="ECUADOR"/>
    <x v="6"/>
    <s v="PELUCHE GRANDE"/>
    <x v="0"/>
    <m/>
    <s v="EFECTIVO"/>
    <x v="1"/>
    <s v="SI"/>
    <m/>
  </r>
  <r>
    <n v="1085"/>
    <x v="112"/>
    <s v="ANDRES FELIPE VARGAS"/>
    <s v="andres.vargas85@gmail.com"/>
    <x v="2"/>
    <s v="ECUADOR"/>
    <x v="8"/>
    <s v="ZAPATILLAS RUNNING"/>
    <x v="3"/>
    <n v="133.88999999999999"/>
    <s v="EFECTIVO"/>
    <x v="1"/>
    <s v="SI"/>
    <n v="401.66999999999996"/>
  </r>
  <r>
    <n v="1101"/>
    <x v="113"/>
    <s v="PEDRO PABLO GOMEZ"/>
    <s v="pedro.gomez101@outlook.com"/>
    <x v="8"/>
    <s v="ECUADOR"/>
    <x v="2"/>
    <s v="SUDADERA"/>
    <x v="3"/>
    <n v="1656"/>
    <s v="PAYPAL"/>
    <x v="3"/>
    <s v="SI"/>
    <n v="4968"/>
  </r>
  <r>
    <n v="1001"/>
    <x v="114"/>
    <s v="MARIA FERNANDA LOPEZ"/>
    <s v="maria.lopez1@yahoo.com"/>
    <x v="2"/>
    <s v="ECUADOR"/>
    <x v="2"/>
    <s v="SUDADERA"/>
    <x v="2"/>
    <n v="53.72"/>
    <s v="TRANSFERENCIA BANCARIA"/>
    <x v="1"/>
    <s v="SI"/>
    <n v="107.44"/>
  </r>
  <r>
    <n v="1182"/>
    <x v="36"/>
    <s v="SARA DANIELA JIMENEZ"/>
    <s v="sara.jimenez182@hotmail.com"/>
    <x v="12"/>
    <s v="ECUADOR"/>
    <x v="0"/>
    <s v="PERFUME 100ML"/>
    <x v="2"/>
    <n v="148.54"/>
    <s v="PAYPAL"/>
    <x v="0"/>
    <s v="SI"/>
    <n v="297.08"/>
  </r>
  <r>
    <n v="1034"/>
    <x v="115"/>
    <s v="MARIA JOSE SANCHEZ"/>
    <s v="maria.sanchez34@hotmail.com"/>
    <x v="12"/>
    <s v="ECUADOR"/>
    <x v="4"/>
    <s v="AUDIFONOS BLUETOOTH"/>
    <x v="5"/>
    <n v="154.76"/>
    <s v="EFECTIVO"/>
    <x v="1"/>
    <s v="SI"/>
    <n v="619.04"/>
  </r>
  <r>
    <n v="1027"/>
    <x v="93"/>
    <s v="LAURA VALENTINA DIAZ"/>
    <s v="laura.diaz27@outlook.com"/>
    <x v="4"/>
    <s v="ECUADOR"/>
    <x v="7"/>
    <s v="MANCUERNAS 5KG"/>
    <x v="1"/>
    <n v="176.81"/>
    <s v="TARJETA DE CREDITO"/>
    <x v="1"/>
    <s v="SI"/>
    <n v="884.05"/>
  </r>
  <r>
    <n v="1050"/>
    <x v="116"/>
    <s v="MARIA JOSE SANCHEZ"/>
    <s v="maria.sanchez50@outlook.com"/>
    <x v="9"/>
    <s v="ECUADOR"/>
    <x v="8"/>
    <s v="TENIS URBANOS"/>
    <x v="0"/>
    <n v="135.08000000000001"/>
    <s v="PAYPAL"/>
    <x v="0"/>
    <s v="SI"/>
    <n v="135.08000000000001"/>
  </r>
  <r>
    <n v="1157"/>
    <x v="117"/>
    <s v="SEBASTIAN CAMILO RIOS"/>
    <s v="sebastian.rios157@yahoo.com"/>
    <x v="7"/>
    <s v="ECUADOR"/>
    <x v="4"/>
    <s v="MOUSE INALAMBRICO"/>
    <x v="2"/>
    <n v="139.16999999999999"/>
    <s v="TRANSFERENCIA BANCARIA"/>
    <x v="0"/>
    <s v="SI"/>
    <n v="278.33999999999997"/>
  </r>
  <r>
    <n v="1152"/>
    <x v="118"/>
    <s v="PAULA ANDREA SALAZAR"/>
    <s v="paula.salazar152@hotmail.com"/>
    <x v="3"/>
    <s v="ECUADOR"/>
    <x v="2"/>
    <s v="VESTIDO CASUAL"/>
    <x v="1"/>
    <n v="8.4499999999999993"/>
    <s v="TARJETA DE CREDITO"/>
    <x v="0"/>
    <s v="SI"/>
    <n v="42.25"/>
  </r>
  <r>
    <n v="1160"/>
    <x v="119"/>
    <s v="ANTONELLA MARIA SOTO"/>
    <s v="antonella.soto160@outlook.com"/>
    <x v="5"/>
    <s v="ECUADOR"/>
    <x v="8"/>
    <s v="ZAPATOS FORMALES"/>
    <x v="3"/>
    <n v="192.63"/>
    <s v="TRANSFERENCIA BANCARIA"/>
    <x v="1"/>
    <s v="SI"/>
    <n v="577.89"/>
  </r>
  <r>
    <n v="1063"/>
    <x v="120"/>
    <s v="CARLOS ANDRES RUIZ"/>
    <s v="carlos.ruiz63@outlook.com"/>
    <x v="12"/>
    <s v="ECUADOR"/>
    <x v="9"/>
    <s v="SET DE TOALLAS"/>
    <x v="0"/>
    <n v="1912"/>
    <s v="TRANSFERENCIA BANCARIA"/>
    <x v="4"/>
    <s v="SI"/>
    <n v="1912"/>
  </r>
  <r>
    <n v="1064"/>
    <x v="121"/>
    <s v="MARIA FERNANDA LOPEZ"/>
    <s v="maria.lopez64@gmail.com"/>
    <x v="11"/>
    <s v="ECUADOR"/>
    <x v="2"/>
    <s v="PANTALON JEAN"/>
    <x v="1"/>
    <n v="140.30000000000001"/>
    <s v="PAGO CONTRA ENTREGA"/>
    <x v="4"/>
    <s v="SI"/>
    <n v="701.5"/>
  </r>
  <r>
    <n v="1092"/>
    <x v="122"/>
    <s v="NICOLAS ESTEBAN SILVA"/>
    <s v="nicolas.silva92@hotmail.com"/>
    <x v="12"/>
    <s v="ECUADOR"/>
    <x v="0"/>
    <s v="SECADOR DE CABELLO"/>
    <x v="0"/>
    <n v="141.4"/>
    <s v="TRANSFERENCIA BANCARIA"/>
    <x v="3"/>
    <s v="SI"/>
    <n v="141.4"/>
  </r>
  <r>
    <n v="1019"/>
    <x v="123"/>
    <s v="NICOLAS ESTEBAN SILVA"/>
    <s v="nicolas.silva19@hotmail.com"/>
    <x v="5"/>
    <s v="ECUADOR"/>
    <x v="6"/>
    <s v="MUNECA INTERACTIVA"/>
    <x v="0"/>
    <n v="2463"/>
    <s v="TRANSFERENCIA BANCARIA"/>
    <x v="4"/>
    <s v="SI"/>
    <n v="2463"/>
  </r>
  <r>
    <n v="1123"/>
    <x v="124"/>
    <s v="CAMILA ANDREA MORENO"/>
    <s v="camila.moreno123@outlook.com"/>
    <x v="0"/>
    <s v="ECUADOR"/>
    <x v="5"/>
    <s v="MIEL DE ABEJA"/>
    <x v="0"/>
    <n v="72.27"/>
    <s v="TARJETA DE CREDITO"/>
    <x v="4"/>
    <s v="SI"/>
    <n v="72.27"/>
  </r>
  <r>
    <n v="1076"/>
    <x v="125"/>
    <s v="MIGUEL ANGEL CHAVEZ"/>
    <s v="miguel.chavez76@hotmail.com"/>
    <x v="11"/>
    <s v="ECUADOR"/>
    <x v="8"/>
    <s v="ZAPATOS FORMALES"/>
    <x v="0"/>
    <n v="184.43"/>
    <s v="TARJETA DE CREDITO"/>
    <x v="1"/>
    <s v="SI"/>
    <n v="184.43"/>
  </r>
  <r>
    <n v="1107"/>
    <x v="126"/>
    <s v="EMILIANO RAFAEL NUNEZ"/>
    <s v="emiliano.nunez107@gmail.com"/>
    <x v="7"/>
    <s v="ECUADOR"/>
    <x v="3"/>
    <s v="VENTILADOR"/>
    <x v="2"/>
    <n v="97.29"/>
    <s v="PAGO CONTRA ENTREGA"/>
    <x v="4"/>
    <s v="SI"/>
    <n v="194.58"/>
  </r>
  <r>
    <n v="1070"/>
    <x v="127"/>
    <s v="DANIELA FERNANDA VEGA"/>
    <s v="daniela.vega70@hotmail.com"/>
    <x v="7"/>
    <s v="ECUADOR"/>
    <x v="9"/>
    <s v="ORGANIZADOR PLASTICO"/>
    <x v="0"/>
    <n v="13.8"/>
    <s v="TRANSFERENCIA BANCARIA"/>
    <x v="3"/>
    <s v="SI"/>
    <n v="13.8"/>
  </r>
  <r>
    <n v="1111"/>
    <x v="128"/>
    <s v="RENATA SOFIA GUZMAN"/>
    <s v="renata.guzman111@yahoo.com"/>
    <x v="6"/>
    <s v="ECUADOR"/>
    <x v="7"/>
    <s v="COLCHONETA YOGA"/>
    <x v="2"/>
    <n v="10757"/>
    <s v="TARJETA DE CREDITO"/>
    <x v="0"/>
    <s v="SI"/>
    <n v="21514"/>
  </r>
  <r>
    <n v="1016"/>
    <x v="129"/>
    <s v="MARTINA LUCIA FUENTES"/>
    <s v="martina.fuentes16@gmail.com"/>
    <x v="10"/>
    <s v="ECUADOR"/>
    <x v="2"/>
    <s v="PANTALON JEAN"/>
    <x v="5"/>
    <n v="3934"/>
    <s v="EFECTIVO"/>
    <x v="2"/>
    <s v="SI"/>
    <n v="15736"/>
  </r>
  <r>
    <n v="1037"/>
    <x v="31"/>
    <s v="MATEO DAVID HERRERA"/>
    <s v="mateo.herrera37@yahoo.com"/>
    <x v="8"/>
    <s v="ECUADOR"/>
    <x v="1"/>
    <s v="CUENTO INFANTIL"/>
    <x v="4"/>
    <n v="63.62"/>
    <s v="PAYPAL"/>
    <x v="2"/>
    <s v="SI"/>
    <n v="0"/>
  </r>
  <r>
    <n v="1126"/>
    <x v="130"/>
    <s v="MARTINA LUCIA FUENTES"/>
    <s v="martina.fuentes126@outlook.com"/>
    <x v="3"/>
    <s v="ECUADOR"/>
    <x v="6"/>
    <s v="ROMPECABEZAS 500 PIEZAS"/>
    <x v="4"/>
    <n v="194.87"/>
    <s v="TARJETA DE CREDITO"/>
    <x v="0"/>
    <s v="SI"/>
    <n v="0"/>
  </r>
  <r>
    <n v="1183"/>
    <x v="131"/>
    <s v="DIEGO ALEJANDRO CASTRO"/>
    <s v="diego.castro183@yahoo.com"/>
    <x v="3"/>
    <s v="ECUADOR"/>
    <x v="5"/>
    <s v="CHOCOLATE ARTESANAL"/>
    <x v="2"/>
    <n v="31.1"/>
    <s v="TARJETA DE CREDITO"/>
    <x v="1"/>
    <s v="SI"/>
    <n v="62.2"/>
  </r>
  <r>
    <n v="1077"/>
    <x v="82"/>
    <s v="PAULA ANDREA SALAZAR"/>
    <s v="paula.salazar77@yahoo.com"/>
    <x v="1"/>
    <s v="ECUADOR"/>
    <x v="6"/>
    <s v="PELUCHE GRANDE"/>
    <x v="1"/>
    <n v="67.959999999999994"/>
    <s v="EFECTIVO"/>
    <x v="2"/>
    <s v="SI"/>
    <n v="339.79999999999995"/>
  </r>
  <r>
    <n v="1068"/>
    <x v="132"/>
    <s v="MARTINA LUCIA FUENTES"/>
    <s v="martina.fuentes68@outlook.com"/>
    <x v="5"/>
    <s v="ECUADOR"/>
    <x v="9"/>
    <s v="LAMPARA DE MESA"/>
    <x v="0"/>
    <n v="35.93"/>
    <s v="EFECTIVO"/>
    <x v="4"/>
    <s v="SI"/>
    <n v="35.93"/>
  </r>
  <r>
    <n v="1035"/>
    <x v="133"/>
    <s v="SANTIAGO NICOLAS ORTIZ"/>
    <s v="santiago.ortiz35@hotmail.com"/>
    <x v="12"/>
    <s v="ECUADOR"/>
    <x v="1"/>
    <s v="NOVELA BEST SELLER"/>
    <x v="2"/>
    <n v="58.62"/>
    <s v="PAYPAL"/>
    <x v="0"/>
    <s v="SI"/>
    <n v="117.24"/>
  </r>
  <r>
    <n v="1021"/>
    <x v="36"/>
    <s v="DIEGO ALEJANDRO CASTRO"/>
    <s v="diego.castro21@gmail.com"/>
    <x v="9"/>
    <s v="ECUADOR"/>
    <x v="1"/>
    <s v="CUENTO INFANTIL"/>
    <x v="0"/>
    <n v="189.21"/>
    <s v="EFECTIVO"/>
    <x v="0"/>
    <s v="SI"/>
    <n v="189.21"/>
  </r>
  <r>
    <n v="1175"/>
    <x v="134"/>
    <s v="MARIA FERNANDA LOPEZ"/>
    <s v="maria.lopez175@outlook.com"/>
    <x v="1"/>
    <s v="ECUADOR"/>
    <x v="7"/>
    <s v="BALON DE FUTBOL"/>
    <x v="0"/>
    <n v="72.31"/>
    <s v="TARJETA DE CREDITO"/>
    <x v="0"/>
    <s v="SI"/>
    <n v="72.31"/>
  </r>
  <r>
    <n v="1043"/>
    <x v="135"/>
    <s v="MARIA JOSE SANCHEZ"/>
    <s v="maria.sanchez43@yahoo.com"/>
    <x v="12"/>
    <s v="ECUADOR"/>
    <x v="0"/>
    <s v="SHAMPOO REPARADOR"/>
    <x v="5"/>
    <n v="169.02"/>
    <s v="TARJETA DE CREDITO"/>
    <x v="1"/>
    <s v="SI"/>
    <n v="676.08"/>
  </r>
  <r>
    <n v="1133"/>
    <x v="136"/>
    <s v="JOSE LUIS MARTINEZ"/>
    <s v="jose.martinez133@yahoo.com"/>
    <x v="2"/>
    <s v="ECUADOR"/>
    <x v="8"/>
    <s v="BOTAS DE CUERO"/>
    <x v="0"/>
    <n v="161.55000000000001"/>
    <s v="TRANSFERENCIA BANCARIA"/>
    <x v="0"/>
    <s v="SI"/>
    <n v="161.55000000000001"/>
  </r>
  <r>
    <n v="1146"/>
    <x v="137"/>
    <s v="TOMAS IGNACIO AGUILAR"/>
    <s v="tomas.aguilar146@outlook.com"/>
    <x v="7"/>
    <s v="ECUADOR"/>
    <x v="9"/>
    <s v="CORTINA"/>
    <x v="0"/>
    <n v="233.95"/>
    <s v="TARJETA DE CREDITO"/>
    <x v="4"/>
    <s v="SI"/>
    <n v="233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1D2D3-C8F1-9F41-A2E3-59972F07540A}" name="Cuenta_Estado_Pedidos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A40:B46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2"/>
        <item x="0"/>
        <item x="1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1"/>
  </rowFields>
  <rowItems count="6">
    <i>
      <x v="2"/>
    </i>
    <i>
      <x v="3"/>
    </i>
    <i>
      <x v="1"/>
    </i>
    <i>
      <x/>
    </i>
    <i>
      <x v="4"/>
    </i>
    <i t="grand">
      <x/>
    </i>
  </rowItems>
  <colItems count="1">
    <i/>
  </colItems>
  <dataFields count="1">
    <dataField name="Cuenta de Estado_Pedido" fld="11" subtotal="count" showDataAs="percentOfTotal" baseField="0" baseItem="0" numFmtId="1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731EB-D921-F04E-92D0-93E2E2F07B1B}" name="TablaDinámica5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81:B92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axis="axisRow" showAll="0" sortType="descending">
      <items count="11">
        <item x="5"/>
        <item x="0"/>
        <item x="8"/>
        <item x="7"/>
        <item x="3"/>
        <item x="4"/>
        <item x="9"/>
        <item x="6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4"/>
        <item x="0"/>
        <item x="2"/>
        <item x="3"/>
        <item x="5"/>
        <item x="1"/>
        <item t="default"/>
      </items>
    </pivotField>
    <pivotField showAll="0"/>
    <pivotField showAll="0"/>
    <pivotField showAll="0">
      <items count="6">
        <item x="2"/>
        <item x="0"/>
        <item x="1"/>
        <item x="4"/>
        <item x="3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6"/>
  </rowFields>
  <rowItems count="11">
    <i>
      <x v="3"/>
    </i>
    <i>
      <x v="1"/>
    </i>
    <i>
      <x v="7"/>
    </i>
    <i>
      <x v="5"/>
    </i>
    <i>
      <x v="9"/>
    </i>
    <i>
      <x v="6"/>
    </i>
    <i>
      <x v="4"/>
    </i>
    <i>
      <x/>
    </i>
    <i>
      <x v="8"/>
    </i>
    <i>
      <x v="2"/>
    </i>
    <i t="grand">
      <x/>
    </i>
  </rowItems>
  <colItems count="1">
    <i/>
  </colItems>
  <dataFields count="1">
    <dataField name="Suma de Ingreso" fld="13" baseField="0" baseItem="0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F5772-EE96-2F4B-8BAD-A5BC572037CB}" name="TablaDinámica4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72:B78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Estado_Pedido" fld="11" subtotal="count" showDataAs="percentOfTotal" baseField="0" baseItem="0" numFmtId="10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651465-D234-BA4F-9009-B39E0B1475A2}" name="Ingreso_Ciudad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24:B38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axis="axisRow" showAll="0" sortType="ascending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4">
    <i>
      <x v="6"/>
    </i>
    <i>
      <x v="2"/>
    </i>
    <i>
      <x v="4"/>
    </i>
    <i>
      <x v="1"/>
    </i>
    <i>
      <x/>
    </i>
    <i>
      <x v="11"/>
    </i>
    <i>
      <x v="7"/>
    </i>
    <i>
      <x v="3"/>
    </i>
    <i>
      <x v="9"/>
    </i>
    <i>
      <x v="5"/>
    </i>
    <i>
      <x v="10"/>
    </i>
    <i>
      <x v="8"/>
    </i>
    <i>
      <x v="12"/>
    </i>
    <i t="grand">
      <x/>
    </i>
  </rowItems>
  <colItems count="1">
    <i/>
  </colItems>
  <dataFields count="1">
    <dataField name="Suma de Ingreso" fld="13" baseField="0" baseItem="0" numFmtId="44"/>
  </dataFields>
  <formats count="1">
    <format dxfId="13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66AA0-00CB-0045-8DAA-EE4092923B0E}" name="Ingreso 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9:A70" firstHeaderRow="1" firstDataRow="1" firstDataCol="0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</pivotFields>
  <rowItems count="1">
    <i/>
  </rowItems>
  <colItems count="1">
    <i/>
  </colItems>
  <dataFields count="1">
    <dataField name="Suma de Ingreso" fld="13" baseField="0" baseItem="0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DFD3E-E54C-E649-92F7-19F3F083E494}" name="Q_Vendida_Ciudad" cacheId="6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8:B22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axis="axisRow" showAll="0" sortType="ascending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4">
    <i>
      <x v="7"/>
    </i>
    <i>
      <x v="3"/>
    </i>
    <i>
      <x v="6"/>
    </i>
    <i>
      <x/>
    </i>
    <i>
      <x v="11"/>
    </i>
    <i>
      <x v="9"/>
    </i>
    <i>
      <x v="5"/>
    </i>
    <i>
      <x v="12"/>
    </i>
    <i>
      <x v="2"/>
    </i>
    <i>
      <x v="8"/>
    </i>
    <i>
      <x v="1"/>
    </i>
    <i>
      <x v="10"/>
    </i>
    <i>
      <x v="4"/>
    </i>
    <i t="grand">
      <x/>
    </i>
  </rowItems>
  <colItems count="1">
    <i/>
  </colItems>
  <dataFields count="1">
    <dataField name="Suma de Cantidad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E3782-679E-8843-BD3B-F62B5A571DFA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63:B66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1">
    <field x="16"/>
  </rowFields>
  <rowItems count="3">
    <i>
      <x v="1"/>
    </i>
    <i>
      <x v="2"/>
    </i>
    <i t="grand">
      <x/>
    </i>
  </rowItems>
  <colItems count="1">
    <i/>
  </colItems>
  <dataFields count="1">
    <dataField name="Promedio de Ingreso" fld="13" subtotal="average" baseField="0" baseItem="0" numFmtId="4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7A424-96DB-4E43-ABD1-AB8BD399AF99}" name="Ingreso_Tiempo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9:B60" firstHeaderRow="1" firstDataRow="1" firstDataCol="1"/>
  <pivotFields count="17">
    <pivotField showAll="0"/>
    <pivotField numFmtId="14" showAll="0">
      <items count="139">
        <item x="22"/>
        <item x="95"/>
        <item x="14"/>
        <item x="80"/>
        <item x="53"/>
        <item x="10"/>
        <item x="12"/>
        <item x="3"/>
        <item x="77"/>
        <item x="21"/>
        <item x="97"/>
        <item x="52"/>
        <item x="30"/>
        <item x="34"/>
        <item x="128"/>
        <item x="49"/>
        <item x="60"/>
        <item x="28"/>
        <item x="5"/>
        <item x="110"/>
        <item x="42"/>
        <item x="2"/>
        <item x="58"/>
        <item x="36"/>
        <item x="23"/>
        <item x="13"/>
        <item x="94"/>
        <item x="74"/>
        <item x="46"/>
        <item x="26"/>
        <item x="127"/>
        <item x="29"/>
        <item x="69"/>
        <item x="132"/>
        <item x="131"/>
        <item x="47"/>
        <item x="103"/>
        <item x="82"/>
        <item x="133"/>
        <item x="83"/>
        <item x="81"/>
        <item x="100"/>
        <item x="39"/>
        <item x="98"/>
        <item x="43"/>
        <item x="71"/>
        <item x="121"/>
        <item x="11"/>
        <item x="0"/>
        <item x="106"/>
        <item x="135"/>
        <item x="73"/>
        <item x="118"/>
        <item x="114"/>
        <item x="134"/>
        <item x="38"/>
        <item x="27"/>
        <item x="44"/>
        <item x="108"/>
        <item x="79"/>
        <item x="130"/>
        <item x="125"/>
        <item x="7"/>
        <item x="9"/>
        <item x="64"/>
        <item x="101"/>
        <item x="104"/>
        <item x="111"/>
        <item x="102"/>
        <item x="15"/>
        <item x="96"/>
        <item x="63"/>
        <item x="91"/>
        <item x="90"/>
        <item x="116"/>
        <item x="122"/>
        <item x="107"/>
        <item x="35"/>
        <item x="48"/>
        <item x="4"/>
        <item x="51"/>
        <item x="62"/>
        <item x="18"/>
        <item x="32"/>
        <item x="31"/>
        <item x="113"/>
        <item x="8"/>
        <item x="41"/>
        <item x="59"/>
        <item x="70"/>
        <item x="93"/>
        <item x="19"/>
        <item x="68"/>
        <item x="124"/>
        <item x="78"/>
        <item x="105"/>
        <item x="33"/>
        <item x="65"/>
        <item x="115"/>
        <item x="24"/>
        <item x="87"/>
        <item x="16"/>
        <item x="137"/>
        <item x="92"/>
        <item x="54"/>
        <item x="123"/>
        <item x="40"/>
        <item x="67"/>
        <item x="126"/>
        <item x="85"/>
        <item x="72"/>
        <item x="50"/>
        <item x="20"/>
        <item x="1"/>
        <item x="129"/>
        <item x="119"/>
        <item x="112"/>
        <item x="37"/>
        <item x="66"/>
        <item x="75"/>
        <item x="6"/>
        <item x="55"/>
        <item x="84"/>
        <item x="17"/>
        <item x="88"/>
        <item x="57"/>
        <item x="120"/>
        <item x="45"/>
        <item x="89"/>
        <item x="61"/>
        <item x="56"/>
        <item x="25"/>
        <item x="86"/>
        <item x="117"/>
        <item x="99"/>
        <item x="109"/>
        <item x="136"/>
        <item x="76"/>
        <item t="default"/>
      </items>
    </pivotField>
    <pivotField showAll="0"/>
    <pivotField showAll="0"/>
    <pivotField showAll="0">
      <items count="14">
        <item x="8"/>
        <item x="12"/>
        <item x="4"/>
        <item x="11"/>
        <item x="3"/>
        <item x="6"/>
        <item x="9"/>
        <item x="5"/>
        <item x="10"/>
        <item x="1"/>
        <item x="2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6"/>
    <field x="15"/>
  </rowFields>
  <rowItems count="1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a de Ingreso" fld="13" baseField="0" baseItem="0" numFmtId="44"/>
  </dataFields>
  <formats count="1">
    <format dxfId="1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BEE119F-B927-5F47-AB98-51471CCD0A27}" autoFormatId="16" applyNumberFormats="0" applyBorderFormats="0" applyFontFormats="0" applyPatternFormats="0" applyAlignmentFormats="0" applyWidthHeightFormats="0">
  <queryTableRefresh nextId="15">
    <queryTableFields count="14">
      <queryTableField id="1" name="ID_Pedido" tableColumnId="1"/>
      <queryTableField id="2" name="Fecha_Pedido" tableColumnId="2"/>
      <queryTableField id="3" name="Cliente" tableColumnId="3"/>
      <queryTableField id="4" name="Correo_Electronico" tableColumnId="4"/>
      <queryTableField id="5" name="Ciudad" tableColumnId="5"/>
      <queryTableField id="6" name="Pais" tableColumnId="6"/>
      <queryTableField id="7" name="Categoria_Producto" tableColumnId="7"/>
      <queryTableField id="8" name="Producto" tableColumnId="8"/>
      <queryTableField id="9" name="Cantidad" tableColumnId="9"/>
      <queryTableField id="10" name="Precio_Unitario" tableColumnId="10"/>
      <queryTableField id="11" name="Metodo_Pago" tableColumnId="11"/>
      <queryTableField id="12" name="Estado_Pedido" tableColumnId="12"/>
      <queryTableField id="13" name="Correo_Valido" tableColumnId="13"/>
      <queryTableField id="14" name="Ingreso" tableColumnId="14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721093FD-00D2-AB4E-B7BF-8E5384B6DB4E}" sourceName="Ciudad">
  <pivotTables>
    <pivotTable tabId="4" name="Q_Vendida_Ciudad"/>
    <pivotTable tabId="4" name="Cuenta_Estado_Pedidos"/>
    <pivotTable tabId="4" name="Ingreso_Ciudad"/>
  </pivotTables>
  <data>
    <tabular pivotCacheId="315576773">
      <items count="13">
        <i x="8" s="1"/>
        <i x="12" s="1"/>
        <i x="4" s="1"/>
        <i x="11" s="1"/>
        <i x="3" s="1"/>
        <i x="6" s="1"/>
        <i x="9" s="1"/>
        <i x="5" s="1"/>
        <i x="10" s="1"/>
        <i x="1" s="1"/>
        <i x="2" s="1"/>
        <i x="0" s="1"/>
        <i x="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5A3B4454-CA8F-2E45-8C21-31DA930B4B16}" cache="SegmentaciónDeDatos_Ciudad" caption="Ciudad" startItem="5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2CD7C-B2B7-4B44-9A4A-3EF007D8F09C}" name="Datos_Ventas_Online" displayName="Datos_Ventas_Online" ref="A1:N165" tableType="queryTable" totalsRowShown="0">
  <autoFilter ref="A1:N165" xr:uid="{9B32CD7C-B2B7-4B44-9A4A-3EF007D8F09C}"/>
  <tableColumns count="14">
    <tableColumn id="1" xr3:uid="{F983173C-524E-2A44-9E3C-173D1CDCDFA2}" uniqueName="1" name="ID_Pedido" queryTableFieldId="1"/>
    <tableColumn id="2" xr3:uid="{925B14CC-2D2B-E74F-B6CC-4AD6CF5488C8}" uniqueName="2" name="Fecha_Pedido" queryTableFieldId="2" dataDxfId="9"/>
    <tableColumn id="3" xr3:uid="{C5CA6FA7-A2C0-8C4C-AFCC-636FAADA1284}" uniqueName="3" name="Cliente" queryTableFieldId="3" dataDxfId="8"/>
    <tableColumn id="4" xr3:uid="{CF945863-2561-244F-B85C-9BADA025B858}" uniqueName="4" name="Correo_Electronico" queryTableFieldId="4" dataDxfId="7"/>
    <tableColumn id="5" xr3:uid="{5415F5A5-0E65-0C44-9321-E3B37CCE8539}" uniqueName="5" name="Ciudad" queryTableFieldId="5" dataDxfId="6"/>
    <tableColumn id="6" xr3:uid="{04213688-1424-1F4D-8F52-842B708F1FDC}" uniqueName="6" name="Pais" queryTableFieldId="6" dataDxfId="5"/>
    <tableColumn id="7" xr3:uid="{3BA62330-C1A7-1743-85BC-B2B55528B06A}" uniqueName="7" name="Categoria_Producto" queryTableFieldId="7" dataDxfId="4"/>
    <tableColumn id="8" xr3:uid="{1E64283A-1CF4-4647-B114-32A57818EBEC}" uniqueName="8" name="Producto" queryTableFieldId="8" dataDxfId="3"/>
    <tableColumn id="9" xr3:uid="{D7F163AC-B9D0-D445-945A-3338E8C81C97}" uniqueName="9" name="Cantidad" queryTableFieldId="9"/>
    <tableColumn id="10" xr3:uid="{236EE41B-5BC1-1B4E-A1B5-EBFD825E4A50}" uniqueName="10" name="Precio_Unitario" queryTableFieldId="10"/>
    <tableColumn id="11" xr3:uid="{92D2A4A5-EED1-9045-B350-F3E68587827C}" uniqueName="11" name="Metodo_Pago" queryTableFieldId="11" dataDxfId="2"/>
    <tableColumn id="12" xr3:uid="{71FC2E04-9FCE-BD45-9629-2350A7BB2CF6}" uniqueName="12" name="Estado_Pedido" queryTableFieldId="12" dataDxfId="1"/>
    <tableColumn id="13" xr3:uid="{D1EB644A-5202-EE4E-9D1E-DB1653306541}" uniqueName="13" name="Correo_Valido" queryTableFieldId="13" dataDxfId="0"/>
    <tableColumn id="14" xr3:uid="{17B83D3C-402A-6D46-917D-4CBF35B5EAF5}" uniqueName="14" name="Ingres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_Pedido" xr10:uid="{2AA84A0A-EE32-D44B-869E-92A249E729C9}" sourceName="Fecha_Pedido">
  <pivotTables>
    <pivotTable tabId="4" name="Q_Vendida_Ciudad"/>
    <pivotTable tabId="4" name="Cuenta_Estado_Pedidos"/>
    <pivotTable tabId="4" name="Ingreso_Ciudad"/>
  </pivotTables>
  <state minimalRefreshVersion="6" lastRefreshVersion="6" pivotCacheId="315576773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_Pedido" xr10:uid="{52E16B8A-7AE3-F44F-88C3-B6F93CD16D7C}" cache="NativeTimeline_Fecha_Pedido" caption="Fecha_Pedido" level="2" selectionLevel="2" scrollPosition="2024-06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11/relationships/timeline" Target="../timelines/timeline1.xml"/><Relationship Id="rId5" Type="http://schemas.openxmlformats.org/officeDocument/2006/relationships/pivotTable" Target="../pivotTables/pivotTable5.xml"/><Relationship Id="rId10" Type="http://schemas.microsoft.com/office/2007/relationships/slicer" Target="../slicers/slicer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C9BD-2984-6C4B-B65C-8354AA238909}">
  <dimension ref="A8:F92"/>
  <sheetViews>
    <sheetView showGridLines="0" tabSelected="1" topLeftCell="E1" zoomScale="42" zoomScaleNormal="60" workbookViewId="0">
      <selection activeCell="AK50" sqref="AK50"/>
    </sheetView>
  </sheetViews>
  <sheetFormatPr baseColWidth="10" defaultRowHeight="16" x14ac:dyDescent="0.2"/>
  <cols>
    <col min="1" max="1" width="18.33203125" hidden="1" customWidth="1"/>
    <col min="2" max="2" width="15.5" hidden="1" customWidth="1"/>
    <col min="3" max="3" width="13.33203125" hidden="1" customWidth="1"/>
    <col min="4" max="4" width="10.83203125" hidden="1" customWidth="1"/>
    <col min="5" max="6" width="10.83203125" customWidth="1"/>
  </cols>
  <sheetData>
    <row r="8" spans="1:2" x14ac:dyDescent="0.2">
      <c r="A8" s="2" t="s">
        <v>286</v>
      </c>
      <c r="B8" t="s">
        <v>288</v>
      </c>
    </row>
    <row r="9" spans="1:2" x14ac:dyDescent="0.2">
      <c r="A9" s="3" t="s">
        <v>60</v>
      </c>
      <c r="B9" s="9">
        <v>13</v>
      </c>
    </row>
    <row r="10" spans="1:2" x14ac:dyDescent="0.2">
      <c r="A10" s="3" t="s">
        <v>138</v>
      </c>
      <c r="B10" s="9">
        <v>15</v>
      </c>
    </row>
    <row r="11" spans="1:2" x14ac:dyDescent="0.2">
      <c r="A11" s="3" t="s">
        <v>103</v>
      </c>
      <c r="B11" s="9">
        <v>16</v>
      </c>
    </row>
    <row r="12" spans="1:2" x14ac:dyDescent="0.2">
      <c r="A12" s="3" t="s">
        <v>27</v>
      </c>
      <c r="B12" s="9">
        <v>16</v>
      </c>
    </row>
    <row r="13" spans="1:2" x14ac:dyDescent="0.2">
      <c r="A13" s="3" t="s">
        <v>14</v>
      </c>
      <c r="B13" s="9">
        <v>21</v>
      </c>
    </row>
    <row r="14" spans="1:2" x14ac:dyDescent="0.2">
      <c r="A14" s="3" t="s">
        <v>22</v>
      </c>
      <c r="B14" s="9">
        <v>24</v>
      </c>
    </row>
    <row r="15" spans="1:2" x14ac:dyDescent="0.2">
      <c r="A15" s="3" t="s">
        <v>77</v>
      </c>
      <c r="B15" s="9">
        <v>27</v>
      </c>
    </row>
    <row r="16" spans="1:2" x14ac:dyDescent="0.2">
      <c r="A16" s="3" t="s">
        <v>86</v>
      </c>
      <c r="B16" s="9">
        <v>30</v>
      </c>
    </row>
    <row r="17" spans="1:3" x14ac:dyDescent="0.2">
      <c r="A17" s="3" t="s">
        <v>50</v>
      </c>
      <c r="B17" s="9">
        <v>32</v>
      </c>
    </row>
    <row r="18" spans="1:3" x14ac:dyDescent="0.2">
      <c r="A18" s="3" t="s">
        <v>116</v>
      </c>
      <c r="B18" s="9">
        <v>32</v>
      </c>
    </row>
    <row r="19" spans="1:3" x14ac:dyDescent="0.2">
      <c r="A19" s="3" t="s">
        <v>143</v>
      </c>
      <c r="B19" s="9">
        <v>32</v>
      </c>
    </row>
    <row r="20" spans="1:3" x14ac:dyDescent="0.2">
      <c r="A20" s="3" t="s">
        <v>32</v>
      </c>
      <c r="B20" s="9">
        <v>37</v>
      </c>
    </row>
    <row r="21" spans="1:3" x14ac:dyDescent="0.2">
      <c r="A21" s="3" t="s">
        <v>45</v>
      </c>
      <c r="B21" s="9">
        <v>41</v>
      </c>
    </row>
    <row r="22" spans="1:3" x14ac:dyDescent="0.2">
      <c r="A22" s="3" t="s">
        <v>287</v>
      </c>
      <c r="B22" s="9">
        <v>336</v>
      </c>
    </row>
    <row r="24" spans="1:3" x14ac:dyDescent="0.2">
      <c r="A24" s="2" t="s">
        <v>286</v>
      </c>
      <c r="B24" t="s">
        <v>290</v>
      </c>
    </row>
    <row r="25" spans="1:3" x14ac:dyDescent="0.2">
      <c r="A25" s="3" t="s">
        <v>103</v>
      </c>
      <c r="B25" s="5">
        <v>1661.24</v>
      </c>
      <c r="C25" s="5"/>
    </row>
    <row r="26" spans="1:3" x14ac:dyDescent="0.2">
      <c r="A26" s="3" t="s">
        <v>50</v>
      </c>
      <c r="B26" s="5">
        <v>3837.2400000000007</v>
      </c>
    </row>
    <row r="27" spans="1:3" x14ac:dyDescent="0.2">
      <c r="A27" s="3" t="s">
        <v>45</v>
      </c>
      <c r="B27" s="5">
        <v>4307.82</v>
      </c>
    </row>
    <row r="28" spans="1:3" x14ac:dyDescent="0.2">
      <c r="A28" s="3" t="s">
        <v>143</v>
      </c>
      <c r="B28" s="5">
        <v>5997.41</v>
      </c>
    </row>
    <row r="29" spans="1:3" x14ac:dyDescent="0.2">
      <c r="A29" s="3" t="s">
        <v>27</v>
      </c>
      <c r="B29" s="5">
        <v>6830.59</v>
      </c>
    </row>
    <row r="30" spans="1:3" x14ac:dyDescent="0.2">
      <c r="A30" s="3" t="s">
        <v>14</v>
      </c>
      <c r="B30" s="5">
        <v>10495.26</v>
      </c>
    </row>
    <row r="31" spans="1:3" x14ac:dyDescent="0.2">
      <c r="A31" s="3" t="s">
        <v>60</v>
      </c>
      <c r="B31" s="5">
        <v>23195.03</v>
      </c>
    </row>
    <row r="32" spans="1:3" x14ac:dyDescent="0.2">
      <c r="A32" s="3" t="s">
        <v>138</v>
      </c>
      <c r="B32" s="5">
        <v>34709.910000000003</v>
      </c>
    </row>
    <row r="33" spans="1:3" x14ac:dyDescent="0.2">
      <c r="A33" s="3" t="s">
        <v>22</v>
      </c>
      <c r="B33" s="5">
        <v>40853.43</v>
      </c>
    </row>
    <row r="34" spans="1:3" x14ac:dyDescent="0.2">
      <c r="A34" s="3" t="s">
        <v>77</v>
      </c>
      <c r="B34" s="5">
        <v>43249.119999999995</v>
      </c>
    </row>
    <row r="35" spans="1:3" x14ac:dyDescent="0.2">
      <c r="A35" s="3" t="s">
        <v>32</v>
      </c>
      <c r="B35" s="5">
        <v>53257.21</v>
      </c>
    </row>
    <row r="36" spans="1:3" x14ac:dyDescent="0.2">
      <c r="A36" s="3" t="s">
        <v>116</v>
      </c>
      <c r="B36" s="5">
        <v>116132.13</v>
      </c>
    </row>
    <row r="37" spans="1:3" x14ac:dyDescent="0.2">
      <c r="A37" s="3" t="s">
        <v>86</v>
      </c>
      <c r="B37" s="5">
        <v>153048.16</v>
      </c>
    </row>
    <row r="38" spans="1:3" x14ac:dyDescent="0.2">
      <c r="A38" s="3" t="s">
        <v>287</v>
      </c>
      <c r="B38" s="5">
        <v>497574.55000000005</v>
      </c>
    </row>
    <row r="40" spans="1:3" x14ac:dyDescent="0.2">
      <c r="A40" s="2" t="s">
        <v>286</v>
      </c>
      <c r="B40" t="s">
        <v>291</v>
      </c>
    </row>
    <row r="41" spans="1:3" x14ac:dyDescent="0.2">
      <c r="A41" s="3" t="s">
        <v>36</v>
      </c>
      <c r="B41" s="6">
        <v>0.32317073170731708</v>
      </c>
    </row>
    <row r="42" spans="1:3" x14ac:dyDescent="0.2">
      <c r="A42" s="3" t="s">
        <v>71</v>
      </c>
      <c r="B42" s="6">
        <v>0.21341463414634146</v>
      </c>
      <c r="C42" s="7"/>
    </row>
    <row r="43" spans="1:3" x14ac:dyDescent="0.2">
      <c r="A43" s="3" t="s">
        <v>19</v>
      </c>
      <c r="B43" s="6">
        <v>0.18292682926829268</v>
      </c>
    </row>
    <row r="44" spans="1:3" x14ac:dyDescent="0.2">
      <c r="A44" s="3" t="s">
        <v>30</v>
      </c>
      <c r="B44" s="6">
        <v>0.16463414634146342</v>
      </c>
    </row>
    <row r="45" spans="1:3" x14ac:dyDescent="0.2">
      <c r="A45" s="3" t="s">
        <v>47</v>
      </c>
      <c r="B45" s="6">
        <v>0.11585365853658537</v>
      </c>
    </row>
    <row r="46" spans="1:3" x14ac:dyDescent="0.2">
      <c r="A46" s="3" t="s">
        <v>287</v>
      </c>
      <c r="B46" s="6">
        <v>1</v>
      </c>
    </row>
    <row r="49" spans="1:3" x14ac:dyDescent="0.2">
      <c r="A49" s="2" t="s">
        <v>286</v>
      </c>
      <c r="B49" t="s">
        <v>290</v>
      </c>
    </row>
    <row r="50" spans="1:3" x14ac:dyDescent="0.2">
      <c r="A50" s="3" t="s">
        <v>292</v>
      </c>
      <c r="B50" s="5">
        <v>387050.29999999993</v>
      </c>
    </row>
    <row r="51" spans="1:3" x14ac:dyDescent="0.2">
      <c r="A51" s="4" t="s">
        <v>294</v>
      </c>
      <c r="B51" s="5">
        <v>153620.69999999995</v>
      </c>
    </row>
    <row r="52" spans="1:3" x14ac:dyDescent="0.2">
      <c r="A52" s="4" t="s">
        <v>295</v>
      </c>
      <c r="B52" s="5">
        <v>5827.6000000000013</v>
      </c>
    </row>
    <row r="53" spans="1:3" x14ac:dyDescent="0.2">
      <c r="A53" s="4" t="s">
        <v>296</v>
      </c>
      <c r="B53" s="5">
        <v>199211.52000000002</v>
      </c>
    </row>
    <row r="54" spans="1:3" x14ac:dyDescent="0.2">
      <c r="A54" s="4" t="s">
        <v>297</v>
      </c>
      <c r="B54" s="5">
        <v>28390.480000000007</v>
      </c>
    </row>
    <row r="55" spans="1:3" x14ac:dyDescent="0.2">
      <c r="A55" s="3" t="s">
        <v>293</v>
      </c>
      <c r="B55" s="5">
        <v>110524.25000000001</v>
      </c>
    </row>
    <row r="56" spans="1:3" x14ac:dyDescent="0.2">
      <c r="A56" s="4" t="s">
        <v>294</v>
      </c>
      <c r="B56" s="5">
        <v>83047.98000000001</v>
      </c>
    </row>
    <row r="57" spans="1:3" x14ac:dyDescent="0.2">
      <c r="A57" s="4" t="s">
        <v>295</v>
      </c>
      <c r="B57" s="5">
        <v>27179.759999999998</v>
      </c>
    </row>
    <row r="58" spans="1:3" x14ac:dyDescent="0.2">
      <c r="A58" s="4" t="s">
        <v>296</v>
      </c>
      <c r="B58" s="5">
        <v>161.55000000000001</v>
      </c>
    </row>
    <row r="59" spans="1:3" x14ac:dyDescent="0.2">
      <c r="A59" s="4" t="s">
        <v>297</v>
      </c>
      <c r="B59" s="5">
        <v>134.96</v>
      </c>
    </row>
    <row r="60" spans="1:3" x14ac:dyDescent="0.2">
      <c r="A60" s="3" t="s">
        <v>287</v>
      </c>
      <c r="B60" s="5">
        <v>497574.54999999993</v>
      </c>
    </row>
    <row r="63" spans="1:3" x14ac:dyDescent="0.2">
      <c r="A63" s="2" t="s">
        <v>286</v>
      </c>
      <c r="B63" t="s">
        <v>298</v>
      </c>
    </row>
    <row r="64" spans="1:3" x14ac:dyDescent="0.2">
      <c r="A64" s="3" t="s">
        <v>292</v>
      </c>
      <c r="B64" s="5">
        <v>3832.1811881188119</v>
      </c>
      <c r="C64" s="8"/>
    </row>
    <row r="65" spans="1:3" x14ac:dyDescent="0.2">
      <c r="A65" s="3" t="s">
        <v>293</v>
      </c>
      <c r="B65" s="5">
        <v>2085.3632075471696</v>
      </c>
      <c r="C65" s="8"/>
    </row>
    <row r="66" spans="1:3" x14ac:dyDescent="0.2">
      <c r="A66" s="3" t="s">
        <v>287</v>
      </c>
      <c r="B66" s="5">
        <v>3231.0035714285714</v>
      </c>
      <c r="C66" s="5"/>
    </row>
    <row r="68" spans="1:3" x14ac:dyDescent="0.2">
      <c r="A68" s="10" t="s">
        <v>299</v>
      </c>
    </row>
    <row r="69" spans="1:3" x14ac:dyDescent="0.2">
      <c r="A69" t="s">
        <v>290</v>
      </c>
    </row>
    <row r="70" spans="1:3" x14ac:dyDescent="0.2">
      <c r="A70" s="5">
        <v>497574.55</v>
      </c>
      <c r="B70" s="8">
        <f>GETPIVOTDATA("Ingreso",$A$69)</f>
        <v>497574.55</v>
      </c>
    </row>
    <row r="72" spans="1:3" x14ac:dyDescent="0.2">
      <c r="A72" s="2" t="s">
        <v>286</v>
      </c>
      <c r="B72" t="s">
        <v>291</v>
      </c>
    </row>
    <row r="73" spans="1:3" x14ac:dyDescent="0.2">
      <c r="A73" s="3" t="s">
        <v>30</v>
      </c>
      <c r="B73" s="6">
        <v>0.16463414634146342</v>
      </c>
    </row>
    <row r="74" spans="1:3" x14ac:dyDescent="0.2">
      <c r="A74" s="3" t="s">
        <v>19</v>
      </c>
      <c r="B74" s="6">
        <v>0.18292682926829268</v>
      </c>
    </row>
    <row r="75" spans="1:3" x14ac:dyDescent="0.2">
      <c r="A75" s="3" t="s">
        <v>36</v>
      </c>
      <c r="B75" s="6">
        <v>0.32317073170731708</v>
      </c>
    </row>
    <row r="76" spans="1:3" x14ac:dyDescent="0.2">
      <c r="A76" s="3" t="s">
        <v>71</v>
      </c>
      <c r="B76" s="6">
        <v>0.21341463414634146</v>
      </c>
      <c r="C76" s="7">
        <f>GETPIVOTDATA("Estado_Pedido",$A$72,"Estado_Pedido","ENTREGADO")</f>
        <v>0.21341463414634146</v>
      </c>
    </row>
    <row r="77" spans="1:3" x14ac:dyDescent="0.2">
      <c r="A77" s="3" t="s">
        <v>47</v>
      </c>
      <c r="B77" s="6">
        <v>0.11585365853658537</v>
      </c>
    </row>
    <row r="78" spans="1:3" x14ac:dyDescent="0.2">
      <c r="A78" s="3" t="s">
        <v>287</v>
      </c>
      <c r="B78" s="6">
        <v>1</v>
      </c>
    </row>
    <row r="81" spans="1:3" x14ac:dyDescent="0.2">
      <c r="A81" s="2" t="s">
        <v>286</v>
      </c>
      <c r="B81" t="s">
        <v>290</v>
      </c>
    </row>
    <row r="82" spans="1:3" x14ac:dyDescent="0.2">
      <c r="A82" s="3" t="s">
        <v>68</v>
      </c>
      <c r="B82" s="5">
        <v>140104.16999999998</v>
      </c>
      <c r="C82" t="str">
        <f>A82</f>
        <v>DEPORTES</v>
      </c>
    </row>
    <row r="83" spans="1:3" x14ac:dyDescent="0.2">
      <c r="A83" s="3" t="s">
        <v>16</v>
      </c>
      <c r="B83" s="5">
        <v>109370.73</v>
      </c>
    </row>
    <row r="84" spans="1:3" x14ac:dyDescent="0.2">
      <c r="A84" s="3" t="s">
        <v>61</v>
      </c>
      <c r="B84" s="5">
        <v>70084.599999999991</v>
      </c>
    </row>
    <row r="85" spans="1:3" x14ac:dyDescent="0.2">
      <c r="A85" s="3" t="s">
        <v>51</v>
      </c>
      <c r="B85" s="5">
        <v>54385.07</v>
      </c>
    </row>
    <row r="86" spans="1:3" x14ac:dyDescent="0.2">
      <c r="A86" s="3" t="s">
        <v>33</v>
      </c>
      <c r="B86" s="5">
        <v>43486.89</v>
      </c>
    </row>
    <row r="87" spans="1:3" x14ac:dyDescent="0.2">
      <c r="A87" s="3" t="s">
        <v>28</v>
      </c>
      <c r="B87" s="5">
        <v>34311.800000000003</v>
      </c>
    </row>
    <row r="88" spans="1:3" x14ac:dyDescent="0.2">
      <c r="A88" s="3" t="s">
        <v>41</v>
      </c>
      <c r="B88" s="5">
        <v>34000.220000000008</v>
      </c>
    </row>
    <row r="89" spans="1:3" x14ac:dyDescent="0.2">
      <c r="A89" s="3" t="s">
        <v>56</v>
      </c>
      <c r="B89" s="5">
        <v>4893.13</v>
      </c>
    </row>
    <row r="90" spans="1:3" x14ac:dyDescent="0.2">
      <c r="A90" s="3" t="s">
        <v>23</v>
      </c>
      <c r="B90" s="5">
        <v>3618.32</v>
      </c>
    </row>
    <row r="91" spans="1:3" x14ac:dyDescent="0.2">
      <c r="A91" s="3" t="s">
        <v>91</v>
      </c>
      <c r="B91" s="5">
        <v>3319.62</v>
      </c>
    </row>
    <row r="92" spans="1:3" x14ac:dyDescent="0.2">
      <c r="A92" s="3" t="s">
        <v>287</v>
      </c>
      <c r="B92" s="5">
        <v>497574.55</v>
      </c>
    </row>
  </sheetData>
  <pageMargins left="0.7" right="0.7" top="0.75" bottom="0.75" header="0.3" footer="0.3"/>
  <pageSetup paperSize="9" orientation="portrait" horizontalDpi="0" verticalDpi="0"/>
  <drawing r:id="rId9"/>
  <extLst>
    <ext xmlns:x14="http://schemas.microsoft.com/office/spreadsheetml/2009/9/main" uri="{A8765BA9-456A-4dab-B4F3-ACF838C121DE}">
      <x14:slicerList>
        <x14:slicer r:id="rId10"/>
      </x14:slicerList>
    </ext>
    <ext xmlns:x15="http://schemas.microsoft.com/office/spreadsheetml/2010/11/main" uri="{7E03D99C-DC04-49d9-9315-930204A7B6E9}">
      <x15:timelineRefs>
        <x15:timelineRef r:id="rId11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F3B4-0002-2941-A5D8-7A795B65CBC1}">
  <dimension ref="A1:N165"/>
  <sheetViews>
    <sheetView topLeftCell="A2" workbookViewId="0">
      <selection activeCell="B41" sqref="B41"/>
    </sheetView>
  </sheetViews>
  <sheetFormatPr baseColWidth="10" defaultRowHeight="16" x14ac:dyDescent="0.2"/>
  <cols>
    <col min="1" max="1" width="12" bestFit="1" customWidth="1"/>
    <col min="2" max="2" width="15.1640625" bestFit="1" customWidth="1"/>
    <col min="3" max="3" width="24" bestFit="1" customWidth="1"/>
    <col min="4" max="4" width="29.6640625" bestFit="1" customWidth="1"/>
    <col min="5" max="5" width="15.6640625" bestFit="1" customWidth="1"/>
    <col min="6" max="6" width="9.5" bestFit="1" customWidth="1"/>
    <col min="7" max="7" width="20.33203125" bestFit="1" customWidth="1"/>
    <col min="8" max="8" width="24.83203125" bestFit="1" customWidth="1"/>
    <col min="9" max="9" width="11.1640625" bestFit="1" customWidth="1"/>
    <col min="10" max="10" width="16.33203125" bestFit="1" customWidth="1"/>
    <col min="11" max="11" width="24" bestFit="1" customWidth="1"/>
    <col min="12" max="12" width="15.83203125" bestFit="1" customWidth="1"/>
    <col min="13" max="13" width="15.33203125" bestFit="1" customWidth="1"/>
    <col min="14" max="14" width="9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284</v>
      </c>
      <c r="N1" t="s">
        <v>289</v>
      </c>
    </row>
    <row r="2" spans="1:14" x14ac:dyDescent="0.2">
      <c r="A2">
        <v>1036</v>
      </c>
      <c r="B2" s="1">
        <v>45454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>
        <v>223.4</v>
      </c>
      <c r="K2" t="s">
        <v>18</v>
      </c>
      <c r="L2" t="s">
        <v>19</v>
      </c>
      <c r="M2" t="s">
        <v>285</v>
      </c>
      <c r="N2">
        <v>223.4</v>
      </c>
    </row>
    <row r="3" spans="1:14" x14ac:dyDescent="0.2">
      <c r="A3">
        <v>1058</v>
      </c>
      <c r="B3" s="1">
        <v>45741</v>
      </c>
      <c r="C3" t="s">
        <v>20</v>
      </c>
      <c r="D3" t="s">
        <v>21</v>
      </c>
      <c r="E3" t="s">
        <v>22</v>
      </c>
      <c r="F3" t="s">
        <v>15</v>
      </c>
      <c r="G3" t="s">
        <v>23</v>
      </c>
      <c r="H3" t="s">
        <v>24</v>
      </c>
      <c r="I3">
        <v>5</v>
      </c>
      <c r="J3">
        <v>225</v>
      </c>
      <c r="K3" t="s">
        <v>25</v>
      </c>
      <c r="L3" t="s">
        <v>19</v>
      </c>
      <c r="M3" t="s">
        <v>285</v>
      </c>
      <c r="N3">
        <v>1125</v>
      </c>
    </row>
    <row r="4" spans="1:14" x14ac:dyDescent="0.2">
      <c r="A4">
        <v>1127</v>
      </c>
      <c r="B4" s="1">
        <v>45362</v>
      </c>
      <c r="C4" t="s">
        <v>12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>
        <v>2</v>
      </c>
      <c r="J4">
        <v>242.05</v>
      </c>
      <c r="K4" t="s">
        <v>35</v>
      </c>
      <c r="L4" t="s">
        <v>36</v>
      </c>
      <c r="M4" t="s">
        <v>285</v>
      </c>
      <c r="N4">
        <v>484.1</v>
      </c>
    </row>
    <row r="5" spans="1:14" x14ac:dyDescent="0.2">
      <c r="A5">
        <v>1150</v>
      </c>
      <c r="B5" s="1">
        <v>45330</v>
      </c>
      <c r="C5" t="s">
        <v>37</v>
      </c>
      <c r="D5" t="s">
        <v>38</v>
      </c>
      <c r="E5" t="s">
        <v>22</v>
      </c>
      <c r="F5" t="s">
        <v>15</v>
      </c>
      <c r="G5" t="s">
        <v>33</v>
      </c>
      <c r="H5" t="s">
        <v>34</v>
      </c>
      <c r="I5">
        <v>3</v>
      </c>
      <c r="J5">
        <v>13.9</v>
      </c>
      <c r="K5" t="s">
        <v>18</v>
      </c>
      <c r="L5" t="s">
        <v>36</v>
      </c>
      <c r="M5" t="s">
        <v>285</v>
      </c>
      <c r="N5">
        <v>41.7</v>
      </c>
    </row>
    <row r="6" spans="1:14" x14ac:dyDescent="0.2">
      <c r="A6">
        <v>1161</v>
      </c>
      <c r="B6" s="1">
        <v>45597</v>
      </c>
      <c r="C6" t="s">
        <v>39</v>
      </c>
      <c r="D6" t="s">
        <v>40</v>
      </c>
      <c r="E6" t="s">
        <v>32</v>
      </c>
      <c r="F6" t="s">
        <v>15</v>
      </c>
      <c r="G6" t="s">
        <v>41</v>
      </c>
      <c r="H6" t="s">
        <v>42</v>
      </c>
      <c r="I6">
        <v>2</v>
      </c>
      <c r="J6">
        <v>136.63</v>
      </c>
      <c r="K6" t="s">
        <v>18</v>
      </c>
      <c r="L6" t="s">
        <v>30</v>
      </c>
      <c r="M6" t="s">
        <v>285</v>
      </c>
      <c r="N6">
        <v>273.26</v>
      </c>
    </row>
    <row r="7" spans="1:14" x14ac:dyDescent="0.2">
      <c r="A7">
        <v>1015</v>
      </c>
      <c r="B7" s="1">
        <v>45354</v>
      </c>
      <c r="C7" t="s">
        <v>43</v>
      </c>
      <c r="D7" t="s">
        <v>44</v>
      </c>
      <c r="E7" t="s">
        <v>45</v>
      </c>
      <c r="F7" t="s">
        <v>15</v>
      </c>
      <c r="G7" t="s">
        <v>23</v>
      </c>
      <c r="H7" t="s">
        <v>46</v>
      </c>
      <c r="I7">
        <v>1</v>
      </c>
      <c r="J7">
        <v>119.42</v>
      </c>
      <c r="K7" t="s">
        <v>35</v>
      </c>
      <c r="L7" t="s">
        <v>47</v>
      </c>
      <c r="M7" t="s">
        <v>285</v>
      </c>
      <c r="N7">
        <v>119.42</v>
      </c>
    </row>
    <row r="8" spans="1:14" x14ac:dyDescent="0.2">
      <c r="A8">
        <v>1062</v>
      </c>
      <c r="B8" s="1">
        <v>45765</v>
      </c>
      <c r="C8" t="s">
        <v>48</v>
      </c>
      <c r="D8" t="s">
        <v>49</v>
      </c>
      <c r="E8" t="s">
        <v>50</v>
      </c>
      <c r="F8" t="s">
        <v>15</v>
      </c>
      <c r="G8" t="s">
        <v>51</v>
      </c>
      <c r="H8" t="s">
        <v>52</v>
      </c>
      <c r="I8">
        <v>2</v>
      </c>
      <c r="J8">
        <v>84.2</v>
      </c>
      <c r="K8" t="s">
        <v>53</v>
      </c>
      <c r="L8" t="s">
        <v>19</v>
      </c>
      <c r="M8" t="s">
        <v>285</v>
      </c>
      <c r="N8">
        <v>168.4</v>
      </c>
    </row>
    <row r="9" spans="1:14" x14ac:dyDescent="0.2">
      <c r="A9">
        <v>1039</v>
      </c>
      <c r="B9" s="1">
        <v>45517</v>
      </c>
      <c r="C9" t="s">
        <v>54</v>
      </c>
      <c r="D9" t="s">
        <v>55</v>
      </c>
      <c r="E9" t="s">
        <v>50</v>
      </c>
      <c r="F9" t="s">
        <v>15</v>
      </c>
      <c r="G9" t="s">
        <v>56</v>
      </c>
      <c r="H9" t="s">
        <v>57</v>
      </c>
      <c r="I9">
        <v>1</v>
      </c>
      <c r="J9">
        <v>6.44</v>
      </c>
      <c r="K9" t="s">
        <v>18</v>
      </c>
      <c r="L9" t="s">
        <v>36</v>
      </c>
      <c r="M9" t="s">
        <v>285</v>
      </c>
      <c r="N9">
        <v>6.44</v>
      </c>
    </row>
    <row r="10" spans="1:14" x14ac:dyDescent="0.2">
      <c r="A10">
        <v>1140</v>
      </c>
      <c r="B10" s="1">
        <v>45627</v>
      </c>
      <c r="C10" t="s">
        <v>58</v>
      </c>
      <c r="D10" t="s">
        <v>59</v>
      </c>
      <c r="E10" t="s">
        <v>60</v>
      </c>
      <c r="F10" t="s">
        <v>15</v>
      </c>
      <c r="G10" t="s">
        <v>61</v>
      </c>
      <c r="H10" t="s">
        <v>62</v>
      </c>
      <c r="I10">
        <v>2</v>
      </c>
      <c r="J10">
        <v>179.83</v>
      </c>
      <c r="K10" t="s">
        <v>35</v>
      </c>
      <c r="L10" t="s">
        <v>36</v>
      </c>
      <c r="M10" t="s">
        <v>285</v>
      </c>
      <c r="N10">
        <v>359.66</v>
      </c>
    </row>
    <row r="11" spans="1:14" x14ac:dyDescent="0.2">
      <c r="A11">
        <v>1003</v>
      </c>
      <c r="B11" s="1">
        <v>45525</v>
      </c>
      <c r="C11" t="s">
        <v>63</v>
      </c>
      <c r="D11" t="s">
        <v>64</v>
      </c>
      <c r="E11" t="s">
        <v>45</v>
      </c>
      <c r="F11" t="s">
        <v>15</v>
      </c>
      <c r="G11" t="s">
        <v>51</v>
      </c>
      <c r="H11" t="s">
        <v>65</v>
      </c>
      <c r="I11">
        <v>5</v>
      </c>
      <c r="J11">
        <v>156.54</v>
      </c>
      <c r="K11" t="s">
        <v>35</v>
      </c>
      <c r="L11" t="s">
        <v>30</v>
      </c>
      <c r="M11" t="s">
        <v>285</v>
      </c>
      <c r="N11">
        <v>782.69999999999993</v>
      </c>
    </row>
    <row r="12" spans="1:14" x14ac:dyDescent="0.2">
      <c r="A12">
        <v>1162</v>
      </c>
      <c r="B12" s="1">
        <v>45324</v>
      </c>
      <c r="C12" t="s">
        <v>66</v>
      </c>
      <c r="D12" t="s">
        <v>67</v>
      </c>
      <c r="E12" t="s">
        <v>50</v>
      </c>
      <c r="F12" t="s">
        <v>15</v>
      </c>
      <c r="G12" t="s">
        <v>68</v>
      </c>
      <c r="H12" t="s">
        <v>69</v>
      </c>
      <c r="I12">
        <v>2</v>
      </c>
      <c r="J12">
        <v>65.64</v>
      </c>
      <c r="K12" t="s">
        <v>25</v>
      </c>
      <c r="L12" t="s">
        <v>30</v>
      </c>
      <c r="M12" t="s">
        <v>285</v>
      </c>
      <c r="N12">
        <v>131.28</v>
      </c>
    </row>
    <row r="13" spans="1:14" x14ac:dyDescent="0.2">
      <c r="A13">
        <v>1151</v>
      </c>
      <c r="B13" s="1">
        <v>45453</v>
      </c>
      <c r="C13" t="s">
        <v>75</v>
      </c>
      <c r="D13" t="s">
        <v>76</v>
      </c>
      <c r="E13" t="s">
        <v>77</v>
      </c>
      <c r="F13" t="s">
        <v>15</v>
      </c>
      <c r="G13" t="s">
        <v>41</v>
      </c>
      <c r="H13" t="s">
        <v>42</v>
      </c>
      <c r="I13">
        <v>5</v>
      </c>
      <c r="J13">
        <v>162.12</v>
      </c>
      <c r="K13" t="s">
        <v>74</v>
      </c>
      <c r="L13" t="s">
        <v>71</v>
      </c>
      <c r="M13" t="s">
        <v>285</v>
      </c>
      <c r="N13">
        <v>810.6</v>
      </c>
    </row>
    <row r="14" spans="1:14" x14ac:dyDescent="0.2">
      <c r="A14">
        <v>1124</v>
      </c>
      <c r="B14" s="1">
        <v>45325</v>
      </c>
      <c r="C14" t="s">
        <v>78</v>
      </c>
      <c r="D14" t="s">
        <v>79</v>
      </c>
      <c r="E14" t="s">
        <v>50</v>
      </c>
      <c r="F14" t="s">
        <v>15</v>
      </c>
      <c r="G14" t="s">
        <v>51</v>
      </c>
      <c r="H14" t="s">
        <v>80</v>
      </c>
      <c r="I14">
        <v>1</v>
      </c>
      <c r="J14">
        <v>112.35</v>
      </c>
      <c r="K14" t="s">
        <v>25</v>
      </c>
      <c r="L14" t="s">
        <v>47</v>
      </c>
      <c r="M14" t="s">
        <v>285</v>
      </c>
      <c r="N14">
        <v>112.35</v>
      </c>
    </row>
    <row r="15" spans="1:14" x14ac:dyDescent="0.2">
      <c r="A15">
        <v>1044</v>
      </c>
      <c r="B15" s="1">
        <v>45369</v>
      </c>
      <c r="C15" t="s">
        <v>58</v>
      </c>
      <c r="D15" t="s">
        <v>81</v>
      </c>
      <c r="E15" t="s">
        <v>50</v>
      </c>
      <c r="F15" t="s">
        <v>15</v>
      </c>
      <c r="G15" t="s">
        <v>33</v>
      </c>
      <c r="H15" t="s">
        <v>82</v>
      </c>
      <c r="I15">
        <v>2</v>
      </c>
      <c r="J15">
        <v>232.58</v>
      </c>
      <c r="K15" t="s">
        <v>74</v>
      </c>
      <c r="L15" t="s">
        <v>36</v>
      </c>
      <c r="M15" t="s">
        <v>285</v>
      </c>
      <c r="N15">
        <v>465.16</v>
      </c>
    </row>
    <row r="16" spans="1:14" x14ac:dyDescent="0.2">
      <c r="A16">
        <v>1024</v>
      </c>
      <c r="B16" s="1">
        <v>45301</v>
      </c>
      <c r="C16" t="s">
        <v>83</v>
      </c>
      <c r="D16" t="s">
        <v>84</v>
      </c>
      <c r="E16" t="s">
        <v>32</v>
      </c>
      <c r="F16" t="s">
        <v>15</v>
      </c>
      <c r="G16" t="s">
        <v>23</v>
      </c>
      <c r="H16" t="s">
        <v>46</v>
      </c>
      <c r="I16">
        <v>2</v>
      </c>
      <c r="J16">
        <v>86.72</v>
      </c>
      <c r="K16" t="s">
        <v>25</v>
      </c>
      <c r="L16" t="s">
        <v>71</v>
      </c>
      <c r="M16" t="s">
        <v>285</v>
      </c>
      <c r="N16">
        <v>173.44</v>
      </c>
    </row>
    <row r="17" spans="1:14" x14ac:dyDescent="0.2">
      <c r="A17">
        <v>1073</v>
      </c>
      <c r="B17" s="1">
        <v>45548</v>
      </c>
      <c r="C17" t="s">
        <v>83</v>
      </c>
      <c r="D17" t="s">
        <v>85</v>
      </c>
      <c r="E17" t="s">
        <v>86</v>
      </c>
      <c r="F17" t="s">
        <v>15</v>
      </c>
      <c r="G17" t="s">
        <v>68</v>
      </c>
      <c r="H17" t="s">
        <v>87</v>
      </c>
      <c r="I17">
        <v>0</v>
      </c>
      <c r="J17">
        <v>113.22</v>
      </c>
      <c r="K17" t="s">
        <v>35</v>
      </c>
      <c r="L17" t="s">
        <v>30</v>
      </c>
      <c r="M17" t="s">
        <v>285</v>
      </c>
      <c r="N17">
        <v>0</v>
      </c>
    </row>
    <row r="18" spans="1:14" x14ac:dyDescent="0.2">
      <c r="A18">
        <v>1040</v>
      </c>
      <c r="B18" s="1">
        <v>45695</v>
      </c>
      <c r="C18" t="s">
        <v>37</v>
      </c>
      <c r="D18" t="s">
        <v>88</v>
      </c>
      <c r="E18" t="s">
        <v>27</v>
      </c>
      <c r="F18" t="s">
        <v>15</v>
      </c>
      <c r="G18" t="s">
        <v>61</v>
      </c>
      <c r="H18" t="s">
        <v>62</v>
      </c>
      <c r="I18">
        <v>2</v>
      </c>
      <c r="J18">
        <v>171.39</v>
      </c>
      <c r="K18" t="s">
        <v>25</v>
      </c>
      <c r="L18" t="s">
        <v>36</v>
      </c>
      <c r="M18" t="s">
        <v>285</v>
      </c>
      <c r="N18">
        <v>342.78</v>
      </c>
    </row>
    <row r="19" spans="1:14" x14ac:dyDescent="0.2">
      <c r="A19">
        <v>1014</v>
      </c>
      <c r="B19" s="1">
        <v>45776</v>
      </c>
      <c r="C19" t="s">
        <v>54</v>
      </c>
      <c r="D19" t="s">
        <v>89</v>
      </c>
      <c r="E19" t="s">
        <v>32</v>
      </c>
      <c r="F19" t="s">
        <v>15</v>
      </c>
      <c r="G19" t="s">
        <v>51</v>
      </c>
      <c r="H19" t="s">
        <v>65</v>
      </c>
      <c r="I19">
        <v>4</v>
      </c>
      <c r="J19">
        <v>123.93</v>
      </c>
      <c r="K19" t="s">
        <v>18</v>
      </c>
      <c r="L19" t="s">
        <v>19</v>
      </c>
      <c r="M19" t="s">
        <v>285</v>
      </c>
      <c r="N19">
        <v>495.72</v>
      </c>
    </row>
    <row r="20" spans="1:14" x14ac:dyDescent="0.2">
      <c r="A20">
        <v>1134</v>
      </c>
      <c r="B20" s="1">
        <v>45612</v>
      </c>
      <c r="C20" t="s">
        <v>78</v>
      </c>
      <c r="D20" t="s">
        <v>90</v>
      </c>
      <c r="E20" t="s">
        <v>86</v>
      </c>
      <c r="F20" t="s">
        <v>15</v>
      </c>
      <c r="G20" t="s">
        <v>91</v>
      </c>
      <c r="H20" t="s">
        <v>92</v>
      </c>
      <c r="I20">
        <v>2</v>
      </c>
      <c r="J20">
        <v>43.73</v>
      </c>
      <c r="K20" t="s">
        <v>53</v>
      </c>
      <c r="L20" t="s">
        <v>30</v>
      </c>
      <c r="M20" t="s">
        <v>285</v>
      </c>
      <c r="N20">
        <v>87.46</v>
      </c>
    </row>
    <row r="21" spans="1:14" x14ac:dyDescent="0.2">
      <c r="A21">
        <v>1025</v>
      </c>
      <c r="B21" s="1">
        <v>45658</v>
      </c>
      <c r="C21" t="s">
        <v>93</v>
      </c>
      <c r="D21" t="s">
        <v>94</v>
      </c>
      <c r="E21" t="s">
        <v>86</v>
      </c>
      <c r="F21" t="s">
        <v>15</v>
      </c>
      <c r="G21" t="s">
        <v>16</v>
      </c>
      <c r="H21" t="s">
        <v>70</v>
      </c>
      <c r="I21">
        <v>1</v>
      </c>
      <c r="J21">
        <v>41.28</v>
      </c>
      <c r="K21" t="s">
        <v>25</v>
      </c>
      <c r="L21" t="s">
        <v>36</v>
      </c>
      <c r="M21" t="s">
        <v>285</v>
      </c>
      <c r="N21">
        <v>41.28</v>
      </c>
    </row>
    <row r="22" spans="1:14" x14ac:dyDescent="0.2">
      <c r="A22">
        <v>1109</v>
      </c>
      <c r="B22" s="1">
        <v>45740</v>
      </c>
      <c r="C22" t="s">
        <v>95</v>
      </c>
      <c r="D22" t="s">
        <v>96</v>
      </c>
      <c r="E22" t="s">
        <v>22</v>
      </c>
      <c r="F22" t="s">
        <v>15</v>
      </c>
      <c r="G22" t="s">
        <v>51</v>
      </c>
      <c r="H22" t="s">
        <v>97</v>
      </c>
      <c r="I22">
        <v>1</v>
      </c>
      <c r="J22">
        <v>973</v>
      </c>
      <c r="K22" t="s">
        <v>74</v>
      </c>
      <c r="L22" t="s">
        <v>47</v>
      </c>
      <c r="M22" t="s">
        <v>285</v>
      </c>
      <c r="N22">
        <v>973</v>
      </c>
    </row>
    <row r="23" spans="1:14" x14ac:dyDescent="0.2">
      <c r="A23">
        <v>1067</v>
      </c>
      <c r="B23" s="1">
        <v>45336</v>
      </c>
      <c r="C23" t="s">
        <v>98</v>
      </c>
      <c r="D23" t="s">
        <v>99</v>
      </c>
      <c r="E23" t="s">
        <v>22</v>
      </c>
      <c r="F23" t="s">
        <v>15</v>
      </c>
      <c r="G23" t="s">
        <v>28</v>
      </c>
      <c r="H23" t="s">
        <v>29</v>
      </c>
      <c r="I23">
        <v>1</v>
      </c>
      <c r="J23">
        <v>24529</v>
      </c>
      <c r="K23" t="s">
        <v>53</v>
      </c>
      <c r="L23" t="s">
        <v>30</v>
      </c>
      <c r="M23" t="s">
        <v>285</v>
      </c>
      <c r="N23">
        <v>24529</v>
      </c>
    </row>
    <row r="24" spans="1:14" x14ac:dyDescent="0.2">
      <c r="A24">
        <v>1056</v>
      </c>
      <c r="B24" s="1">
        <v>45294</v>
      </c>
      <c r="C24" t="s">
        <v>58</v>
      </c>
      <c r="D24" t="s">
        <v>100</v>
      </c>
      <c r="E24" t="s">
        <v>32</v>
      </c>
      <c r="F24" t="s">
        <v>15</v>
      </c>
      <c r="G24" t="s">
        <v>56</v>
      </c>
      <c r="H24" t="s">
        <v>57</v>
      </c>
      <c r="I24">
        <v>4</v>
      </c>
      <c r="J24">
        <v>69.84</v>
      </c>
      <c r="K24" t="s">
        <v>25</v>
      </c>
      <c r="L24" t="s">
        <v>71</v>
      </c>
      <c r="M24" t="s">
        <v>285</v>
      </c>
      <c r="N24">
        <v>279.36</v>
      </c>
    </row>
    <row r="25" spans="1:14" x14ac:dyDescent="0.2">
      <c r="A25">
        <v>1178</v>
      </c>
      <c r="B25" s="1">
        <v>45368</v>
      </c>
      <c r="C25" t="s">
        <v>101</v>
      </c>
      <c r="D25" t="s">
        <v>102</v>
      </c>
      <c r="E25" t="s">
        <v>103</v>
      </c>
      <c r="F25" t="s">
        <v>15</v>
      </c>
      <c r="G25" t="s">
        <v>16</v>
      </c>
      <c r="H25" t="s">
        <v>70</v>
      </c>
      <c r="I25">
        <v>0</v>
      </c>
      <c r="J25">
        <v>61.29</v>
      </c>
      <c r="K25" t="s">
        <v>18</v>
      </c>
      <c r="L25" t="s">
        <v>19</v>
      </c>
      <c r="M25" t="s">
        <v>285</v>
      </c>
      <c r="N25">
        <v>0</v>
      </c>
    </row>
    <row r="26" spans="1:14" x14ac:dyDescent="0.2">
      <c r="A26">
        <v>1184</v>
      </c>
      <c r="B26" s="1">
        <v>45686</v>
      </c>
      <c r="C26" t="s">
        <v>93</v>
      </c>
      <c r="D26" t="s">
        <v>104</v>
      </c>
      <c r="E26" t="s">
        <v>45</v>
      </c>
      <c r="F26" t="s">
        <v>15</v>
      </c>
      <c r="G26" t="s">
        <v>68</v>
      </c>
      <c r="H26" t="s">
        <v>69</v>
      </c>
      <c r="I26">
        <v>0</v>
      </c>
      <c r="J26">
        <v>30.31</v>
      </c>
      <c r="K26" t="s">
        <v>35</v>
      </c>
      <c r="L26" t="s">
        <v>71</v>
      </c>
      <c r="M26" t="s">
        <v>285</v>
      </c>
      <c r="N26">
        <v>0</v>
      </c>
    </row>
    <row r="27" spans="1:14" x14ac:dyDescent="0.2">
      <c r="A27">
        <v>1023</v>
      </c>
      <c r="B27" s="1">
        <v>45809</v>
      </c>
      <c r="C27" t="s">
        <v>54</v>
      </c>
      <c r="D27" t="s">
        <v>105</v>
      </c>
      <c r="E27" t="s">
        <v>45</v>
      </c>
      <c r="F27" t="s">
        <v>15</v>
      </c>
      <c r="G27" t="s">
        <v>41</v>
      </c>
      <c r="H27" t="s">
        <v>106</v>
      </c>
      <c r="I27">
        <v>0</v>
      </c>
      <c r="J27">
        <v>7403</v>
      </c>
      <c r="K27" t="s">
        <v>53</v>
      </c>
      <c r="L27" t="s">
        <v>30</v>
      </c>
      <c r="M27" t="s">
        <v>285</v>
      </c>
      <c r="N27">
        <v>0</v>
      </c>
    </row>
    <row r="28" spans="1:14" x14ac:dyDescent="0.2">
      <c r="A28">
        <v>1121</v>
      </c>
      <c r="B28" s="1">
        <v>45376</v>
      </c>
      <c r="C28" t="s">
        <v>83</v>
      </c>
      <c r="D28" t="s">
        <v>107</v>
      </c>
      <c r="E28" t="s">
        <v>45</v>
      </c>
      <c r="F28" t="s">
        <v>15</v>
      </c>
      <c r="G28" t="s">
        <v>68</v>
      </c>
      <c r="H28" t="s">
        <v>108</v>
      </c>
      <c r="I28">
        <v>1</v>
      </c>
      <c r="J28">
        <v>99.73</v>
      </c>
      <c r="K28" t="s">
        <v>53</v>
      </c>
      <c r="L28" t="s">
        <v>47</v>
      </c>
      <c r="M28" t="s">
        <v>285</v>
      </c>
      <c r="N28">
        <v>99.73</v>
      </c>
    </row>
    <row r="29" spans="1:14" x14ac:dyDescent="0.2">
      <c r="A29">
        <v>1116</v>
      </c>
      <c r="B29" s="1">
        <v>45483</v>
      </c>
      <c r="C29" t="s">
        <v>48</v>
      </c>
      <c r="D29" t="s">
        <v>109</v>
      </c>
      <c r="E29" t="s">
        <v>60</v>
      </c>
      <c r="F29" t="s">
        <v>15</v>
      </c>
      <c r="G29" t="s">
        <v>16</v>
      </c>
      <c r="H29" t="s">
        <v>70</v>
      </c>
      <c r="I29">
        <v>0</v>
      </c>
      <c r="K29" t="s">
        <v>25</v>
      </c>
      <c r="L29" t="s">
        <v>19</v>
      </c>
      <c r="M29" t="s">
        <v>285</v>
      </c>
    </row>
    <row r="30" spans="1:14" x14ac:dyDescent="0.2">
      <c r="A30">
        <v>1159</v>
      </c>
      <c r="B30" s="1">
        <v>45353</v>
      </c>
      <c r="C30" t="s">
        <v>110</v>
      </c>
      <c r="D30" t="s">
        <v>111</v>
      </c>
      <c r="E30" t="s">
        <v>86</v>
      </c>
      <c r="F30" t="s">
        <v>15</v>
      </c>
      <c r="G30" t="s">
        <v>56</v>
      </c>
      <c r="H30" t="s">
        <v>57</v>
      </c>
      <c r="I30">
        <v>2</v>
      </c>
      <c r="J30">
        <v>574</v>
      </c>
      <c r="K30" t="s">
        <v>25</v>
      </c>
      <c r="L30" t="s">
        <v>71</v>
      </c>
      <c r="M30" t="s">
        <v>285</v>
      </c>
      <c r="N30">
        <v>1148</v>
      </c>
    </row>
    <row r="31" spans="1:14" x14ac:dyDescent="0.2">
      <c r="A31">
        <v>1049</v>
      </c>
      <c r="B31" s="1">
        <v>45387</v>
      </c>
      <c r="C31" t="s">
        <v>43</v>
      </c>
      <c r="D31" t="s">
        <v>112</v>
      </c>
      <c r="E31" t="s">
        <v>32</v>
      </c>
      <c r="F31" t="s">
        <v>15</v>
      </c>
      <c r="G31" t="s">
        <v>56</v>
      </c>
      <c r="H31" t="s">
        <v>113</v>
      </c>
      <c r="I31">
        <v>1</v>
      </c>
      <c r="J31">
        <v>63.88</v>
      </c>
      <c r="K31" t="s">
        <v>18</v>
      </c>
      <c r="L31" t="s">
        <v>36</v>
      </c>
      <c r="M31" t="s">
        <v>285</v>
      </c>
      <c r="N31">
        <v>63.88</v>
      </c>
    </row>
    <row r="32" spans="1:14" x14ac:dyDescent="0.2">
      <c r="A32">
        <v>1135</v>
      </c>
      <c r="B32" s="1">
        <v>45343</v>
      </c>
      <c r="C32" t="s">
        <v>114</v>
      </c>
      <c r="D32" t="s">
        <v>115</v>
      </c>
      <c r="E32" t="s">
        <v>116</v>
      </c>
      <c r="F32" t="s">
        <v>15</v>
      </c>
      <c r="G32" t="s">
        <v>41</v>
      </c>
      <c r="H32" t="s">
        <v>42</v>
      </c>
      <c r="I32">
        <v>0</v>
      </c>
      <c r="J32">
        <v>83.18</v>
      </c>
      <c r="K32" t="s">
        <v>25</v>
      </c>
      <c r="L32" t="s">
        <v>36</v>
      </c>
      <c r="M32" t="s">
        <v>285</v>
      </c>
      <c r="N32">
        <v>0</v>
      </c>
    </row>
    <row r="33" spans="1:14" x14ac:dyDescent="0.2">
      <c r="A33">
        <v>1002</v>
      </c>
      <c r="B33" s="1">
        <v>45336</v>
      </c>
      <c r="C33" t="s">
        <v>118</v>
      </c>
      <c r="D33" t="s">
        <v>119</v>
      </c>
      <c r="E33" t="s">
        <v>103</v>
      </c>
      <c r="F33" t="s">
        <v>15</v>
      </c>
      <c r="G33" t="s">
        <v>91</v>
      </c>
      <c r="H33" t="s">
        <v>120</v>
      </c>
      <c r="I33">
        <v>4</v>
      </c>
      <c r="J33">
        <v>87.47</v>
      </c>
      <c r="K33" t="s">
        <v>25</v>
      </c>
      <c r="L33" t="s">
        <v>36</v>
      </c>
      <c r="M33" t="s">
        <v>285</v>
      </c>
      <c r="N33">
        <v>349.88</v>
      </c>
    </row>
    <row r="34" spans="1:14" x14ac:dyDescent="0.2">
      <c r="A34">
        <v>1170</v>
      </c>
      <c r="B34" s="1">
        <v>45619</v>
      </c>
      <c r="C34" t="s">
        <v>63</v>
      </c>
      <c r="D34" t="s">
        <v>121</v>
      </c>
      <c r="E34" t="s">
        <v>116</v>
      </c>
      <c r="F34" t="s">
        <v>15</v>
      </c>
      <c r="G34" t="s">
        <v>28</v>
      </c>
      <c r="H34" t="s">
        <v>29</v>
      </c>
      <c r="I34">
        <v>0</v>
      </c>
      <c r="J34">
        <v>80.56</v>
      </c>
      <c r="K34" t="s">
        <v>74</v>
      </c>
      <c r="L34" t="s">
        <v>36</v>
      </c>
      <c r="M34" t="s">
        <v>285</v>
      </c>
      <c r="N34">
        <v>0</v>
      </c>
    </row>
    <row r="35" spans="1:14" x14ac:dyDescent="0.2">
      <c r="A35">
        <v>1020</v>
      </c>
      <c r="B35" s="1">
        <v>45613</v>
      </c>
      <c r="C35" t="s">
        <v>54</v>
      </c>
      <c r="D35" t="s">
        <v>122</v>
      </c>
      <c r="E35" t="s">
        <v>77</v>
      </c>
      <c r="F35" t="s">
        <v>15</v>
      </c>
      <c r="G35" t="s">
        <v>16</v>
      </c>
      <c r="H35" t="s">
        <v>17</v>
      </c>
      <c r="I35">
        <v>1</v>
      </c>
      <c r="J35">
        <v>107.71</v>
      </c>
      <c r="K35" t="s">
        <v>35</v>
      </c>
      <c r="L35" t="s">
        <v>36</v>
      </c>
      <c r="M35" t="s">
        <v>285</v>
      </c>
      <c r="N35">
        <v>107.71</v>
      </c>
    </row>
    <row r="36" spans="1:14" x14ac:dyDescent="0.2">
      <c r="A36">
        <v>1041</v>
      </c>
      <c r="B36" s="1">
        <v>45680</v>
      </c>
      <c r="C36" t="s">
        <v>123</v>
      </c>
      <c r="D36" t="s">
        <v>124</v>
      </c>
      <c r="E36" t="s">
        <v>86</v>
      </c>
      <c r="F36" t="s">
        <v>15</v>
      </c>
      <c r="G36" t="s">
        <v>51</v>
      </c>
      <c r="H36" t="s">
        <v>52</v>
      </c>
      <c r="I36">
        <v>3</v>
      </c>
      <c r="K36" t="s">
        <v>53</v>
      </c>
      <c r="L36" t="s">
        <v>30</v>
      </c>
      <c r="M36" t="s">
        <v>285</v>
      </c>
    </row>
    <row r="37" spans="1:14" x14ac:dyDescent="0.2">
      <c r="A37">
        <v>1090</v>
      </c>
      <c r="B37" s="1">
        <v>45344</v>
      </c>
      <c r="C37" t="s">
        <v>114</v>
      </c>
      <c r="D37" t="s">
        <v>125</v>
      </c>
      <c r="E37" t="s">
        <v>50</v>
      </c>
      <c r="F37" t="s">
        <v>15</v>
      </c>
      <c r="G37" t="s">
        <v>41</v>
      </c>
      <c r="H37" t="s">
        <v>126</v>
      </c>
      <c r="I37">
        <v>1</v>
      </c>
      <c r="J37">
        <v>142.59</v>
      </c>
      <c r="K37" t="s">
        <v>25</v>
      </c>
      <c r="L37" t="s">
        <v>36</v>
      </c>
      <c r="M37" t="s">
        <v>285</v>
      </c>
      <c r="N37">
        <v>142.59</v>
      </c>
    </row>
    <row r="38" spans="1:14" x14ac:dyDescent="0.2">
      <c r="A38">
        <v>1137</v>
      </c>
      <c r="B38" s="1">
        <v>45584</v>
      </c>
      <c r="C38" t="s">
        <v>101</v>
      </c>
      <c r="D38" t="s">
        <v>127</v>
      </c>
      <c r="E38" t="s">
        <v>32</v>
      </c>
      <c r="F38" t="s">
        <v>15</v>
      </c>
      <c r="G38" t="s">
        <v>28</v>
      </c>
      <c r="H38" t="s">
        <v>128</v>
      </c>
      <c r="I38">
        <v>1</v>
      </c>
      <c r="J38">
        <v>57.71</v>
      </c>
      <c r="K38" t="s">
        <v>25</v>
      </c>
      <c r="L38" t="s">
        <v>30</v>
      </c>
      <c r="M38" t="s">
        <v>285</v>
      </c>
      <c r="N38">
        <v>57.71</v>
      </c>
    </row>
    <row r="39" spans="1:14" x14ac:dyDescent="0.2">
      <c r="A39">
        <v>1138</v>
      </c>
      <c r="B39" s="1">
        <v>45367</v>
      </c>
      <c r="C39" t="s">
        <v>129</v>
      </c>
      <c r="D39" t="s">
        <v>130</v>
      </c>
      <c r="E39" t="s">
        <v>45</v>
      </c>
      <c r="F39" t="s">
        <v>15</v>
      </c>
      <c r="G39" t="s">
        <v>41</v>
      </c>
      <c r="H39" t="s">
        <v>42</v>
      </c>
      <c r="I39">
        <v>1</v>
      </c>
      <c r="J39">
        <v>94.65</v>
      </c>
      <c r="K39" t="s">
        <v>35</v>
      </c>
      <c r="L39" t="s">
        <v>19</v>
      </c>
      <c r="M39" t="s">
        <v>285</v>
      </c>
      <c r="N39">
        <v>94.65</v>
      </c>
    </row>
    <row r="40" spans="1:14" x14ac:dyDescent="0.2">
      <c r="A40">
        <v>1087</v>
      </c>
      <c r="B40" s="1">
        <v>45756</v>
      </c>
      <c r="C40" t="s">
        <v>93</v>
      </c>
      <c r="D40" t="s">
        <v>131</v>
      </c>
      <c r="E40" t="s">
        <v>32</v>
      </c>
      <c r="F40" t="s">
        <v>15</v>
      </c>
      <c r="G40" t="s">
        <v>16</v>
      </c>
      <c r="H40" t="s">
        <v>132</v>
      </c>
      <c r="I40">
        <v>2</v>
      </c>
      <c r="J40">
        <v>157.96</v>
      </c>
      <c r="K40" t="s">
        <v>18</v>
      </c>
      <c r="L40" t="s">
        <v>36</v>
      </c>
      <c r="M40" t="s">
        <v>285</v>
      </c>
      <c r="N40">
        <v>315.92</v>
      </c>
    </row>
    <row r="41" spans="1:14" x14ac:dyDescent="0.2">
      <c r="A41">
        <v>1060</v>
      </c>
      <c r="B41" s="1">
        <v>45477</v>
      </c>
      <c r="C41" t="s">
        <v>37</v>
      </c>
      <c r="D41" t="s">
        <v>133</v>
      </c>
      <c r="E41" t="s">
        <v>86</v>
      </c>
      <c r="F41" t="s">
        <v>15</v>
      </c>
      <c r="G41" t="s">
        <v>16</v>
      </c>
      <c r="H41" t="s">
        <v>70</v>
      </c>
      <c r="I41">
        <v>5</v>
      </c>
      <c r="J41">
        <v>19196</v>
      </c>
      <c r="K41" t="s">
        <v>35</v>
      </c>
      <c r="L41" t="s">
        <v>47</v>
      </c>
      <c r="M41" t="s">
        <v>285</v>
      </c>
      <c r="N41">
        <v>95980</v>
      </c>
    </row>
    <row r="42" spans="1:14" x14ac:dyDescent="0.2">
      <c r="A42">
        <v>1075</v>
      </c>
      <c r="B42" s="1">
        <v>45432</v>
      </c>
      <c r="C42" t="s">
        <v>129</v>
      </c>
      <c r="D42" t="s">
        <v>134</v>
      </c>
      <c r="E42" t="s">
        <v>77</v>
      </c>
      <c r="F42" t="s">
        <v>15</v>
      </c>
      <c r="G42" t="s">
        <v>16</v>
      </c>
      <c r="H42" t="s">
        <v>135</v>
      </c>
      <c r="I42">
        <v>5</v>
      </c>
      <c r="J42">
        <v>61.38</v>
      </c>
      <c r="K42" t="s">
        <v>25</v>
      </c>
      <c r="L42" t="s">
        <v>47</v>
      </c>
      <c r="M42" t="s">
        <v>285</v>
      </c>
      <c r="N42">
        <v>306.90000000000003</v>
      </c>
    </row>
    <row r="43" spans="1:14" x14ac:dyDescent="0.2">
      <c r="A43">
        <v>1143</v>
      </c>
      <c r="B43" s="1">
        <v>45714</v>
      </c>
      <c r="C43" t="s">
        <v>136</v>
      </c>
      <c r="D43" t="s">
        <v>137</v>
      </c>
      <c r="E43" t="s">
        <v>138</v>
      </c>
      <c r="F43" t="s">
        <v>15</v>
      </c>
      <c r="G43" t="s">
        <v>28</v>
      </c>
      <c r="H43" t="s">
        <v>139</v>
      </c>
      <c r="I43">
        <v>2</v>
      </c>
      <c r="J43">
        <v>237.31</v>
      </c>
      <c r="K43" t="s">
        <v>25</v>
      </c>
      <c r="L43" t="s">
        <v>36</v>
      </c>
      <c r="M43" t="s">
        <v>285</v>
      </c>
      <c r="N43">
        <v>474.62</v>
      </c>
    </row>
    <row r="44" spans="1:14" x14ac:dyDescent="0.2">
      <c r="A44">
        <v>1148</v>
      </c>
      <c r="B44" s="1">
        <v>45630</v>
      </c>
      <c r="C44" t="s">
        <v>20</v>
      </c>
      <c r="D44" t="s">
        <v>140</v>
      </c>
      <c r="E44" t="s">
        <v>77</v>
      </c>
      <c r="F44" t="s">
        <v>15</v>
      </c>
      <c r="G44" t="s">
        <v>33</v>
      </c>
      <c r="H44" t="s">
        <v>141</v>
      </c>
      <c r="I44">
        <v>1</v>
      </c>
      <c r="J44">
        <v>135.11000000000001</v>
      </c>
      <c r="K44" t="s">
        <v>25</v>
      </c>
      <c r="L44" t="s">
        <v>71</v>
      </c>
      <c r="M44" t="s">
        <v>285</v>
      </c>
      <c r="N44">
        <v>135.11000000000001</v>
      </c>
    </row>
    <row r="45" spans="1:14" x14ac:dyDescent="0.2">
      <c r="A45">
        <v>1115</v>
      </c>
      <c r="B45" s="1">
        <v>45356</v>
      </c>
      <c r="C45" t="s">
        <v>83</v>
      </c>
      <c r="D45" t="s">
        <v>142</v>
      </c>
      <c r="E45" t="s">
        <v>143</v>
      </c>
      <c r="F45" t="s">
        <v>15</v>
      </c>
      <c r="G45" t="s">
        <v>16</v>
      </c>
      <c r="H45" t="s">
        <v>17</v>
      </c>
      <c r="I45">
        <v>0</v>
      </c>
      <c r="J45">
        <v>19516</v>
      </c>
      <c r="K45" t="s">
        <v>25</v>
      </c>
      <c r="L45" t="s">
        <v>71</v>
      </c>
      <c r="M45" t="s">
        <v>285</v>
      </c>
      <c r="N45">
        <v>0</v>
      </c>
    </row>
    <row r="46" spans="1:14" x14ac:dyDescent="0.2">
      <c r="A46">
        <v>1139</v>
      </c>
      <c r="B46" s="1">
        <v>45439</v>
      </c>
      <c r="C46" t="s">
        <v>136</v>
      </c>
      <c r="D46" t="s">
        <v>144</v>
      </c>
      <c r="E46" t="s">
        <v>14</v>
      </c>
      <c r="F46" t="s">
        <v>15</v>
      </c>
      <c r="G46" t="s">
        <v>91</v>
      </c>
      <c r="H46" t="s">
        <v>145</v>
      </c>
      <c r="I46">
        <v>1</v>
      </c>
      <c r="J46">
        <v>243.9</v>
      </c>
      <c r="K46" t="s">
        <v>18</v>
      </c>
      <c r="L46" t="s">
        <v>36</v>
      </c>
      <c r="M46" t="s">
        <v>285</v>
      </c>
      <c r="N46">
        <v>243.9</v>
      </c>
    </row>
    <row r="47" spans="1:14" x14ac:dyDescent="0.2">
      <c r="A47">
        <v>1103</v>
      </c>
      <c r="B47" s="1">
        <v>45484</v>
      </c>
      <c r="C47" t="s">
        <v>48</v>
      </c>
      <c r="D47" t="s">
        <v>146</v>
      </c>
      <c r="E47" t="s">
        <v>27</v>
      </c>
      <c r="F47" t="s">
        <v>15</v>
      </c>
      <c r="G47" t="s">
        <v>23</v>
      </c>
      <c r="H47" t="s">
        <v>147</v>
      </c>
      <c r="I47">
        <v>1</v>
      </c>
      <c r="J47">
        <v>99.2</v>
      </c>
      <c r="K47" t="s">
        <v>18</v>
      </c>
      <c r="L47" t="s">
        <v>47</v>
      </c>
      <c r="M47" t="s">
        <v>285</v>
      </c>
      <c r="N47">
        <v>99.2</v>
      </c>
    </row>
    <row r="48" spans="1:14" x14ac:dyDescent="0.2">
      <c r="A48">
        <v>1174</v>
      </c>
      <c r="B48" s="1">
        <v>45791</v>
      </c>
      <c r="C48" t="s">
        <v>95</v>
      </c>
      <c r="D48" t="s">
        <v>148</v>
      </c>
      <c r="E48" t="s">
        <v>32</v>
      </c>
      <c r="F48" t="s">
        <v>15</v>
      </c>
      <c r="G48" t="s">
        <v>41</v>
      </c>
      <c r="H48" t="s">
        <v>149</v>
      </c>
      <c r="I48">
        <v>2</v>
      </c>
      <c r="J48">
        <v>7.24</v>
      </c>
      <c r="K48" t="s">
        <v>53</v>
      </c>
      <c r="L48" t="s">
        <v>71</v>
      </c>
      <c r="M48" t="s">
        <v>285</v>
      </c>
      <c r="N48">
        <v>14.48</v>
      </c>
    </row>
    <row r="49" spans="1:14" x14ac:dyDescent="0.2">
      <c r="A49">
        <v>1094</v>
      </c>
      <c r="B49" s="1">
        <v>45375</v>
      </c>
      <c r="C49" t="s">
        <v>150</v>
      </c>
      <c r="D49" t="s">
        <v>151</v>
      </c>
      <c r="E49" t="s">
        <v>14</v>
      </c>
      <c r="F49" t="s">
        <v>15</v>
      </c>
      <c r="G49" t="s">
        <v>33</v>
      </c>
      <c r="H49" t="s">
        <v>82</v>
      </c>
      <c r="I49">
        <v>5</v>
      </c>
      <c r="J49">
        <v>195.32</v>
      </c>
      <c r="K49" t="s">
        <v>25</v>
      </c>
      <c r="L49" t="s">
        <v>71</v>
      </c>
      <c r="M49" t="s">
        <v>285</v>
      </c>
      <c r="N49">
        <v>976.59999999999991</v>
      </c>
    </row>
    <row r="50" spans="1:14" x14ac:dyDescent="0.2">
      <c r="A50">
        <v>1007</v>
      </c>
      <c r="B50" s="1">
        <v>45404</v>
      </c>
      <c r="C50" t="s">
        <v>12</v>
      </c>
      <c r="D50" t="s">
        <v>152</v>
      </c>
      <c r="E50" t="s">
        <v>143</v>
      </c>
      <c r="F50" t="s">
        <v>15</v>
      </c>
      <c r="G50" t="s">
        <v>16</v>
      </c>
      <c r="H50" t="s">
        <v>153</v>
      </c>
      <c r="I50">
        <v>1</v>
      </c>
      <c r="J50">
        <v>147.97</v>
      </c>
      <c r="K50" t="s">
        <v>25</v>
      </c>
      <c r="L50" t="s">
        <v>19</v>
      </c>
      <c r="M50" t="s">
        <v>285</v>
      </c>
      <c r="N50">
        <v>147.97</v>
      </c>
    </row>
    <row r="51" spans="1:14" x14ac:dyDescent="0.2">
      <c r="A51">
        <v>1145</v>
      </c>
      <c r="B51" s="1">
        <v>45587</v>
      </c>
      <c r="C51" t="s">
        <v>98</v>
      </c>
      <c r="D51" t="s">
        <v>154</v>
      </c>
      <c r="E51" t="s">
        <v>22</v>
      </c>
      <c r="F51" t="s">
        <v>15</v>
      </c>
      <c r="G51" t="s">
        <v>23</v>
      </c>
      <c r="H51" t="s">
        <v>155</v>
      </c>
      <c r="I51">
        <v>1</v>
      </c>
      <c r="K51" t="s">
        <v>25</v>
      </c>
      <c r="L51" t="s">
        <v>30</v>
      </c>
      <c r="M51" t="s">
        <v>285</v>
      </c>
    </row>
    <row r="52" spans="1:14" x14ac:dyDescent="0.2">
      <c r="A52">
        <v>1026</v>
      </c>
      <c r="B52" s="1">
        <v>45714</v>
      </c>
      <c r="C52" t="s">
        <v>66</v>
      </c>
      <c r="D52" t="s">
        <v>156</v>
      </c>
      <c r="E52" t="s">
        <v>143</v>
      </c>
      <c r="F52" t="s">
        <v>15</v>
      </c>
      <c r="G52" t="s">
        <v>28</v>
      </c>
      <c r="H52" t="s">
        <v>128</v>
      </c>
      <c r="I52">
        <v>2</v>
      </c>
      <c r="J52">
        <v>188.62</v>
      </c>
      <c r="K52" t="s">
        <v>25</v>
      </c>
      <c r="L52" t="s">
        <v>71</v>
      </c>
      <c r="M52" t="s">
        <v>285</v>
      </c>
      <c r="N52">
        <v>377.24</v>
      </c>
    </row>
    <row r="53" spans="1:14" x14ac:dyDescent="0.2">
      <c r="A53">
        <v>1018</v>
      </c>
      <c r="B53" s="1">
        <v>45350</v>
      </c>
      <c r="C53" t="s">
        <v>157</v>
      </c>
      <c r="D53" t="s">
        <v>158</v>
      </c>
      <c r="E53" t="s">
        <v>14</v>
      </c>
      <c r="F53" t="s">
        <v>15</v>
      </c>
      <c r="G53" t="s">
        <v>68</v>
      </c>
      <c r="H53" t="s">
        <v>69</v>
      </c>
      <c r="I53">
        <v>1</v>
      </c>
      <c r="J53">
        <v>77.69</v>
      </c>
      <c r="K53" t="s">
        <v>35</v>
      </c>
      <c r="L53" t="s">
        <v>47</v>
      </c>
      <c r="M53" t="s">
        <v>285</v>
      </c>
      <c r="N53">
        <v>77.69</v>
      </c>
    </row>
    <row r="54" spans="1:14" x14ac:dyDescent="0.2">
      <c r="A54">
        <v>1130</v>
      </c>
      <c r="B54" s="1">
        <v>45735</v>
      </c>
      <c r="C54" t="s">
        <v>72</v>
      </c>
      <c r="D54" t="s">
        <v>159</v>
      </c>
      <c r="E54" t="s">
        <v>32</v>
      </c>
      <c r="F54" t="s">
        <v>15</v>
      </c>
      <c r="G54" t="s">
        <v>68</v>
      </c>
      <c r="H54" t="s">
        <v>69</v>
      </c>
      <c r="I54">
        <v>1</v>
      </c>
      <c r="J54">
        <v>208.12</v>
      </c>
      <c r="K54" t="s">
        <v>35</v>
      </c>
      <c r="L54" t="s">
        <v>71</v>
      </c>
      <c r="M54" t="s">
        <v>285</v>
      </c>
      <c r="N54">
        <v>208.12</v>
      </c>
    </row>
    <row r="55" spans="1:14" x14ac:dyDescent="0.2">
      <c r="A55">
        <v>1022</v>
      </c>
      <c r="B55" s="1">
        <v>45598</v>
      </c>
      <c r="C55" t="s">
        <v>43</v>
      </c>
      <c r="D55" t="s">
        <v>160</v>
      </c>
      <c r="E55" t="s">
        <v>60</v>
      </c>
      <c r="F55" t="s">
        <v>15</v>
      </c>
      <c r="G55" t="s">
        <v>41</v>
      </c>
      <c r="H55" t="s">
        <v>42</v>
      </c>
      <c r="I55">
        <v>2</v>
      </c>
      <c r="J55">
        <v>9553</v>
      </c>
      <c r="K55" t="s">
        <v>74</v>
      </c>
      <c r="L55" t="s">
        <v>19</v>
      </c>
      <c r="M55" t="s">
        <v>285</v>
      </c>
      <c r="N55">
        <v>19106</v>
      </c>
    </row>
    <row r="56" spans="1:14" x14ac:dyDescent="0.2">
      <c r="A56">
        <v>1120</v>
      </c>
      <c r="B56" s="1">
        <v>45340</v>
      </c>
      <c r="C56" t="s">
        <v>78</v>
      </c>
      <c r="D56" t="s">
        <v>161</v>
      </c>
      <c r="E56" t="s">
        <v>143</v>
      </c>
      <c r="F56" t="s">
        <v>15</v>
      </c>
      <c r="G56" t="s">
        <v>28</v>
      </c>
      <c r="H56" t="s">
        <v>162</v>
      </c>
      <c r="I56">
        <v>0</v>
      </c>
      <c r="J56">
        <v>204.77</v>
      </c>
      <c r="K56" t="s">
        <v>25</v>
      </c>
      <c r="L56" t="s">
        <v>47</v>
      </c>
      <c r="M56" t="s">
        <v>285</v>
      </c>
      <c r="N56">
        <v>0</v>
      </c>
    </row>
    <row r="57" spans="1:14" x14ac:dyDescent="0.2">
      <c r="A57">
        <v>1059</v>
      </c>
      <c r="B57" s="1">
        <v>45318</v>
      </c>
      <c r="C57" t="s">
        <v>110</v>
      </c>
      <c r="D57" t="s">
        <v>163</v>
      </c>
      <c r="E57" t="s">
        <v>86</v>
      </c>
      <c r="F57" t="s">
        <v>15</v>
      </c>
      <c r="G57" t="s">
        <v>56</v>
      </c>
      <c r="H57" t="s">
        <v>113</v>
      </c>
      <c r="I57">
        <v>5</v>
      </c>
      <c r="J57">
        <v>125.98</v>
      </c>
      <c r="K57" t="s">
        <v>25</v>
      </c>
      <c r="L57" t="s">
        <v>36</v>
      </c>
      <c r="M57" t="s">
        <v>285</v>
      </c>
      <c r="N57">
        <v>629.9</v>
      </c>
    </row>
    <row r="58" spans="1:14" x14ac:dyDescent="0.2">
      <c r="A58">
        <v>1163</v>
      </c>
      <c r="B58" s="1">
        <v>45703</v>
      </c>
      <c r="C58" t="s">
        <v>58</v>
      </c>
      <c r="D58" t="s">
        <v>164</v>
      </c>
      <c r="E58" t="s">
        <v>50</v>
      </c>
      <c r="F58" t="s">
        <v>15</v>
      </c>
      <c r="G58" t="s">
        <v>33</v>
      </c>
      <c r="H58" t="s">
        <v>141</v>
      </c>
      <c r="I58">
        <v>2</v>
      </c>
      <c r="J58">
        <v>13.23</v>
      </c>
      <c r="K58" t="s">
        <v>18</v>
      </c>
      <c r="L58" t="s">
        <v>71</v>
      </c>
      <c r="M58" t="s">
        <v>285</v>
      </c>
      <c r="N58">
        <v>26.46</v>
      </c>
    </row>
    <row r="59" spans="1:14" x14ac:dyDescent="0.2">
      <c r="A59">
        <v>1047</v>
      </c>
      <c r="B59" s="1">
        <v>45767</v>
      </c>
      <c r="C59" t="s">
        <v>58</v>
      </c>
      <c r="D59" t="s">
        <v>165</v>
      </c>
      <c r="E59" t="s">
        <v>22</v>
      </c>
      <c r="F59" t="s">
        <v>15</v>
      </c>
      <c r="G59" t="s">
        <v>68</v>
      </c>
      <c r="H59" t="s">
        <v>108</v>
      </c>
      <c r="I59">
        <v>1</v>
      </c>
      <c r="J59">
        <v>213.67</v>
      </c>
      <c r="K59" t="s">
        <v>25</v>
      </c>
      <c r="L59" t="s">
        <v>30</v>
      </c>
      <c r="M59" t="s">
        <v>285</v>
      </c>
      <c r="N59">
        <v>213.67</v>
      </c>
    </row>
    <row r="60" spans="1:14" x14ac:dyDescent="0.2">
      <c r="A60">
        <v>1166</v>
      </c>
      <c r="B60" s="1">
        <v>45362</v>
      </c>
      <c r="C60" t="s">
        <v>166</v>
      </c>
      <c r="D60" t="s">
        <v>167</v>
      </c>
      <c r="E60" t="s">
        <v>138</v>
      </c>
      <c r="F60" t="s">
        <v>15</v>
      </c>
      <c r="G60" t="s">
        <v>61</v>
      </c>
      <c r="H60" t="s">
        <v>168</v>
      </c>
      <c r="I60">
        <v>2</v>
      </c>
      <c r="J60">
        <v>7847</v>
      </c>
      <c r="K60" t="s">
        <v>35</v>
      </c>
      <c r="L60" t="s">
        <v>36</v>
      </c>
      <c r="M60" t="s">
        <v>285</v>
      </c>
      <c r="N60">
        <v>15694</v>
      </c>
    </row>
    <row r="61" spans="1:14" x14ac:dyDescent="0.2">
      <c r="A61">
        <v>1136</v>
      </c>
      <c r="B61" s="1">
        <v>45802</v>
      </c>
      <c r="C61" t="s">
        <v>39</v>
      </c>
      <c r="D61" t="s">
        <v>169</v>
      </c>
      <c r="E61" t="s">
        <v>77</v>
      </c>
      <c r="F61" t="s">
        <v>15</v>
      </c>
      <c r="G61" t="s">
        <v>33</v>
      </c>
      <c r="H61" t="s">
        <v>141</v>
      </c>
      <c r="I61">
        <v>1</v>
      </c>
      <c r="J61">
        <v>18168</v>
      </c>
      <c r="K61" t="s">
        <v>25</v>
      </c>
      <c r="L61" t="s">
        <v>36</v>
      </c>
      <c r="M61" t="s">
        <v>285</v>
      </c>
      <c r="N61">
        <v>18168</v>
      </c>
    </row>
    <row r="62" spans="1:14" x14ac:dyDescent="0.2">
      <c r="A62">
        <v>1066</v>
      </c>
      <c r="B62" s="1">
        <v>45787</v>
      </c>
      <c r="C62" t="s">
        <v>95</v>
      </c>
      <c r="D62" t="s">
        <v>170</v>
      </c>
      <c r="E62" t="s">
        <v>103</v>
      </c>
      <c r="F62" t="s">
        <v>15</v>
      </c>
      <c r="G62" t="s">
        <v>61</v>
      </c>
      <c r="H62" t="s">
        <v>168</v>
      </c>
      <c r="I62">
        <v>1</v>
      </c>
      <c r="J62">
        <v>78.150000000000006</v>
      </c>
      <c r="K62" t="s">
        <v>35</v>
      </c>
      <c r="L62" t="s">
        <v>36</v>
      </c>
      <c r="M62" t="s">
        <v>285</v>
      </c>
      <c r="N62">
        <v>78.150000000000006</v>
      </c>
    </row>
    <row r="63" spans="1:14" x14ac:dyDescent="0.2">
      <c r="A63">
        <v>1065</v>
      </c>
      <c r="B63" s="1">
        <v>45363</v>
      </c>
      <c r="C63" t="s">
        <v>157</v>
      </c>
      <c r="D63" t="s">
        <v>171</v>
      </c>
      <c r="E63" t="s">
        <v>86</v>
      </c>
      <c r="F63" t="s">
        <v>15</v>
      </c>
      <c r="G63" t="s">
        <v>61</v>
      </c>
      <c r="H63" t="s">
        <v>168</v>
      </c>
      <c r="I63">
        <v>2</v>
      </c>
      <c r="J63">
        <v>24516</v>
      </c>
      <c r="K63" t="s">
        <v>35</v>
      </c>
      <c r="L63" t="s">
        <v>71</v>
      </c>
      <c r="M63" t="s">
        <v>285</v>
      </c>
      <c r="N63">
        <v>49032</v>
      </c>
    </row>
    <row r="64" spans="1:14" x14ac:dyDescent="0.2">
      <c r="A64">
        <v>1028</v>
      </c>
      <c r="B64" s="1">
        <v>45631</v>
      </c>
      <c r="C64" t="s">
        <v>48</v>
      </c>
      <c r="D64" t="s">
        <v>172</v>
      </c>
      <c r="E64" t="s">
        <v>143</v>
      </c>
      <c r="F64" t="s">
        <v>15</v>
      </c>
      <c r="G64" t="s">
        <v>51</v>
      </c>
      <c r="H64" t="s">
        <v>80</v>
      </c>
      <c r="I64">
        <v>2</v>
      </c>
      <c r="J64">
        <v>216.77</v>
      </c>
      <c r="K64" t="s">
        <v>25</v>
      </c>
      <c r="L64" t="s">
        <v>36</v>
      </c>
      <c r="M64" t="s">
        <v>285</v>
      </c>
      <c r="N64">
        <v>433.54</v>
      </c>
    </row>
    <row r="65" spans="1:14" x14ac:dyDescent="0.2">
      <c r="A65">
        <v>1012</v>
      </c>
      <c r="B65" s="1">
        <v>45740</v>
      </c>
      <c r="C65" t="s">
        <v>174</v>
      </c>
      <c r="D65" t="s">
        <v>175</v>
      </c>
      <c r="E65" t="s">
        <v>27</v>
      </c>
      <c r="F65" t="s">
        <v>15</v>
      </c>
      <c r="G65" t="s">
        <v>16</v>
      </c>
      <c r="H65" t="s">
        <v>135</v>
      </c>
      <c r="I65">
        <v>4</v>
      </c>
      <c r="J65">
        <v>190.04</v>
      </c>
      <c r="K65" t="s">
        <v>18</v>
      </c>
      <c r="L65" t="s">
        <v>30</v>
      </c>
      <c r="M65" t="s">
        <v>285</v>
      </c>
      <c r="N65">
        <v>760.16</v>
      </c>
    </row>
    <row r="66" spans="1:14" x14ac:dyDescent="0.2">
      <c r="A66">
        <v>1158</v>
      </c>
      <c r="B66" s="1">
        <v>45351</v>
      </c>
      <c r="C66" t="s">
        <v>20</v>
      </c>
      <c r="D66" t="s">
        <v>176</v>
      </c>
      <c r="E66" t="s">
        <v>86</v>
      </c>
      <c r="F66" t="s">
        <v>15</v>
      </c>
      <c r="G66" t="s">
        <v>56</v>
      </c>
      <c r="H66" t="s">
        <v>177</v>
      </c>
      <c r="I66">
        <v>1</v>
      </c>
      <c r="J66">
        <v>130.04</v>
      </c>
      <c r="K66" t="s">
        <v>53</v>
      </c>
      <c r="L66" t="s">
        <v>71</v>
      </c>
      <c r="M66" t="s">
        <v>285</v>
      </c>
      <c r="N66">
        <v>130.04</v>
      </c>
    </row>
    <row r="67" spans="1:14" x14ac:dyDescent="0.2">
      <c r="A67">
        <v>1165</v>
      </c>
      <c r="B67" s="1">
        <v>45799</v>
      </c>
      <c r="C67" t="s">
        <v>54</v>
      </c>
      <c r="D67" t="s">
        <v>178</v>
      </c>
      <c r="E67" t="s">
        <v>45</v>
      </c>
      <c r="F67" t="s">
        <v>15</v>
      </c>
      <c r="G67" t="s">
        <v>33</v>
      </c>
      <c r="H67" t="s">
        <v>34</v>
      </c>
      <c r="I67">
        <v>5</v>
      </c>
      <c r="J67">
        <v>141.4</v>
      </c>
      <c r="K67" t="s">
        <v>18</v>
      </c>
      <c r="L67" t="s">
        <v>71</v>
      </c>
      <c r="M67" t="s">
        <v>285</v>
      </c>
      <c r="N67">
        <v>707</v>
      </c>
    </row>
    <row r="68" spans="1:14" x14ac:dyDescent="0.2">
      <c r="A68">
        <v>1055</v>
      </c>
      <c r="B68" s="1">
        <v>45604</v>
      </c>
      <c r="C68" t="s">
        <v>63</v>
      </c>
      <c r="D68" t="s">
        <v>179</v>
      </c>
      <c r="E68" t="s">
        <v>50</v>
      </c>
      <c r="F68" t="s">
        <v>15</v>
      </c>
      <c r="G68" t="s">
        <v>16</v>
      </c>
      <c r="H68" t="s">
        <v>17</v>
      </c>
      <c r="I68">
        <v>1</v>
      </c>
      <c r="J68">
        <v>133.03</v>
      </c>
      <c r="K68" t="s">
        <v>53</v>
      </c>
      <c r="L68" t="s">
        <v>30</v>
      </c>
      <c r="M68" t="s">
        <v>285</v>
      </c>
      <c r="N68">
        <v>133.03</v>
      </c>
    </row>
    <row r="69" spans="1:14" x14ac:dyDescent="0.2">
      <c r="A69">
        <v>1072</v>
      </c>
      <c r="B69" s="1">
        <v>45552</v>
      </c>
      <c r="C69" t="s">
        <v>150</v>
      </c>
      <c r="D69" t="s">
        <v>181</v>
      </c>
      <c r="E69" t="s">
        <v>77</v>
      </c>
      <c r="F69" t="s">
        <v>15</v>
      </c>
      <c r="G69" t="s">
        <v>33</v>
      </c>
      <c r="H69" t="s">
        <v>141</v>
      </c>
      <c r="I69">
        <v>2</v>
      </c>
      <c r="J69">
        <v>98.72</v>
      </c>
      <c r="K69" t="s">
        <v>53</v>
      </c>
      <c r="L69" t="s">
        <v>19</v>
      </c>
      <c r="M69" t="s">
        <v>285</v>
      </c>
      <c r="N69">
        <v>197.44</v>
      </c>
    </row>
    <row r="70" spans="1:14" x14ac:dyDescent="0.2">
      <c r="A70">
        <v>1005</v>
      </c>
      <c r="B70" s="1">
        <v>45526</v>
      </c>
      <c r="C70" t="s">
        <v>114</v>
      </c>
      <c r="D70" t="s">
        <v>182</v>
      </c>
      <c r="E70" t="s">
        <v>143</v>
      </c>
      <c r="F70" t="s">
        <v>15</v>
      </c>
      <c r="G70" t="s">
        <v>68</v>
      </c>
      <c r="H70" t="s">
        <v>108</v>
      </c>
      <c r="I70">
        <v>5</v>
      </c>
      <c r="J70">
        <v>161.80000000000001</v>
      </c>
      <c r="K70" t="s">
        <v>35</v>
      </c>
      <c r="L70" t="s">
        <v>36</v>
      </c>
      <c r="M70" t="s">
        <v>285</v>
      </c>
      <c r="N70">
        <v>809</v>
      </c>
    </row>
    <row r="71" spans="1:14" x14ac:dyDescent="0.2">
      <c r="A71">
        <v>1078</v>
      </c>
      <c r="B71" s="1">
        <v>45682</v>
      </c>
      <c r="C71" t="s">
        <v>93</v>
      </c>
      <c r="D71" t="s">
        <v>183</v>
      </c>
      <c r="E71" t="s">
        <v>45</v>
      </c>
      <c r="F71" t="s">
        <v>15</v>
      </c>
      <c r="G71" t="s">
        <v>23</v>
      </c>
      <c r="H71" t="s">
        <v>46</v>
      </c>
      <c r="I71">
        <v>0</v>
      </c>
      <c r="J71">
        <v>198.72</v>
      </c>
      <c r="K71" t="s">
        <v>35</v>
      </c>
      <c r="L71" t="s">
        <v>71</v>
      </c>
      <c r="M71" t="s">
        <v>285</v>
      </c>
      <c r="N71">
        <v>0</v>
      </c>
    </row>
    <row r="72" spans="1:14" x14ac:dyDescent="0.2">
      <c r="A72">
        <v>1021</v>
      </c>
      <c r="B72" s="1">
        <v>45367</v>
      </c>
      <c r="C72" t="s">
        <v>83</v>
      </c>
      <c r="D72" t="s">
        <v>184</v>
      </c>
      <c r="E72" t="s">
        <v>103</v>
      </c>
      <c r="F72" t="s">
        <v>15</v>
      </c>
      <c r="G72" t="s">
        <v>23</v>
      </c>
      <c r="H72" t="s">
        <v>155</v>
      </c>
      <c r="I72">
        <v>1</v>
      </c>
      <c r="J72">
        <v>189.21</v>
      </c>
      <c r="K72" t="s">
        <v>53</v>
      </c>
      <c r="L72" t="s">
        <v>19</v>
      </c>
      <c r="M72" t="s">
        <v>285</v>
      </c>
      <c r="N72">
        <v>189.21</v>
      </c>
    </row>
    <row r="73" spans="1:14" x14ac:dyDescent="0.2">
      <c r="A73">
        <v>1144</v>
      </c>
      <c r="B73" s="1">
        <v>45762</v>
      </c>
      <c r="C73" t="s">
        <v>150</v>
      </c>
      <c r="D73" t="s">
        <v>185</v>
      </c>
      <c r="E73" t="s">
        <v>60</v>
      </c>
      <c r="F73" t="s">
        <v>15</v>
      </c>
      <c r="G73" t="s">
        <v>61</v>
      </c>
      <c r="H73" t="s">
        <v>62</v>
      </c>
      <c r="I73">
        <v>3</v>
      </c>
      <c r="J73">
        <v>142.41999999999999</v>
      </c>
      <c r="K73" t="s">
        <v>53</v>
      </c>
      <c r="L73" t="s">
        <v>19</v>
      </c>
      <c r="M73" t="s">
        <v>285</v>
      </c>
      <c r="N73">
        <v>427.26</v>
      </c>
    </row>
    <row r="74" spans="1:14" x14ac:dyDescent="0.2">
      <c r="A74">
        <v>1031</v>
      </c>
      <c r="B74" s="1">
        <v>45722</v>
      </c>
      <c r="C74" t="s">
        <v>66</v>
      </c>
      <c r="D74" t="s">
        <v>186</v>
      </c>
      <c r="E74" t="s">
        <v>116</v>
      </c>
      <c r="F74" t="s">
        <v>15</v>
      </c>
      <c r="G74" t="s">
        <v>28</v>
      </c>
      <c r="H74" t="s">
        <v>187</v>
      </c>
      <c r="I74">
        <v>5</v>
      </c>
      <c r="J74">
        <v>168.39</v>
      </c>
      <c r="K74" t="s">
        <v>18</v>
      </c>
      <c r="L74" t="s">
        <v>30</v>
      </c>
      <c r="M74" t="s">
        <v>285</v>
      </c>
      <c r="N74">
        <v>841.94999999999993</v>
      </c>
    </row>
    <row r="75" spans="1:14" x14ac:dyDescent="0.2">
      <c r="A75">
        <v>1013</v>
      </c>
      <c r="B75" s="1">
        <v>45526</v>
      </c>
      <c r="C75" t="s">
        <v>110</v>
      </c>
      <c r="D75" t="s">
        <v>188</v>
      </c>
      <c r="E75" t="s">
        <v>45</v>
      </c>
      <c r="F75" t="s">
        <v>15</v>
      </c>
      <c r="G75" t="s">
        <v>33</v>
      </c>
      <c r="H75" t="s">
        <v>189</v>
      </c>
      <c r="I75">
        <v>2</v>
      </c>
      <c r="J75">
        <v>140.71</v>
      </c>
      <c r="K75" t="s">
        <v>25</v>
      </c>
      <c r="L75" t="s">
        <v>71</v>
      </c>
      <c r="M75" t="s">
        <v>285</v>
      </c>
      <c r="N75">
        <v>281.42</v>
      </c>
    </row>
    <row r="76" spans="1:14" x14ac:dyDescent="0.2">
      <c r="A76">
        <v>1010</v>
      </c>
      <c r="B76" s="1">
        <v>45663</v>
      </c>
      <c r="C76" t="s">
        <v>58</v>
      </c>
      <c r="D76" t="s">
        <v>190</v>
      </c>
      <c r="E76" t="s">
        <v>143</v>
      </c>
      <c r="F76" t="s">
        <v>15</v>
      </c>
      <c r="G76" t="s">
        <v>28</v>
      </c>
      <c r="H76" t="s">
        <v>139</v>
      </c>
      <c r="I76">
        <v>0</v>
      </c>
      <c r="J76">
        <v>231</v>
      </c>
      <c r="K76" t="s">
        <v>35</v>
      </c>
      <c r="L76" t="s">
        <v>36</v>
      </c>
      <c r="M76" t="s">
        <v>285</v>
      </c>
      <c r="N76">
        <v>0</v>
      </c>
    </row>
    <row r="77" spans="1:14" x14ac:dyDescent="0.2">
      <c r="A77">
        <v>1113</v>
      </c>
      <c r="B77" s="1">
        <v>45393</v>
      </c>
      <c r="C77" t="s">
        <v>48</v>
      </c>
      <c r="D77" t="s">
        <v>191</v>
      </c>
      <c r="E77" t="s">
        <v>14</v>
      </c>
      <c r="F77" t="s">
        <v>15</v>
      </c>
      <c r="G77" t="s">
        <v>51</v>
      </c>
      <c r="H77" t="s">
        <v>52</v>
      </c>
      <c r="I77">
        <v>1</v>
      </c>
      <c r="J77">
        <v>96.62</v>
      </c>
      <c r="K77" t="s">
        <v>25</v>
      </c>
      <c r="L77" t="s">
        <v>36</v>
      </c>
      <c r="M77" t="s">
        <v>285</v>
      </c>
      <c r="N77">
        <v>96.62</v>
      </c>
    </row>
    <row r="78" spans="1:14" x14ac:dyDescent="0.2">
      <c r="A78">
        <v>1105</v>
      </c>
      <c r="B78" s="1">
        <v>45634</v>
      </c>
      <c r="C78" t="s">
        <v>118</v>
      </c>
      <c r="D78" t="s">
        <v>192</v>
      </c>
      <c r="E78" t="s">
        <v>14</v>
      </c>
      <c r="F78" t="s">
        <v>15</v>
      </c>
      <c r="G78" t="s">
        <v>61</v>
      </c>
      <c r="H78" t="s">
        <v>117</v>
      </c>
      <c r="I78">
        <v>1</v>
      </c>
      <c r="K78" t="s">
        <v>53</v>
      </c>
      <c r="L78" t="s">
        <v>36</v>
      </c>
      <c r="M78" t="s">
        <v>285</v>
      </c>
    </row>
    <row r="79" spans="1:14" x14ac:dyDescent="0.2">
      <c r="A79">
        <v>1155</v>
      </c>
      <c r="B79" s="1">
        <v>45448</v>
      </c>
      <c r="C79" t="s">
        <v>174</v>
      </c>
      <c r="D79" t="s">
        <v>193</v>
      </c>
      <c r="E79" t="s">
        <v>103</v>
      </c>
      <c r="F79" t="s">
        <v>15</v>
      </c>
      <c r="G79" t="s">
        <v>56</v>
      </c>
      <c r="H79" t="s">
        <v>73</v>
      </c>
      <c r="I79">
        <v>2</v>
      </c>
      <c r="J79">
        <v>235.46</v>
      </c>
      <c r="K79" t="s">
        <v>25</v>
      </c>
      <c r="L79" t="s">
        <v>30</v>
      </c>
      <c r="M79" t="s">
        <v>285</v>
      </c>
      <c r="N79">
        <v>470.92</v>
      </c>
    </row>
    <row r="80" spans="1:14" x14ac:dyDescent="0.2">
      <c r="A80">
        <v>1089</v>
      </c>
      <c r="B80" s="1">
        <v>45734</v>
      </c>
      <c r="C80" t="s">
        <v>114</v>
      </c>
      <c r="D80" t="s">
        <v>194</v>
      </c>
      <c r="E80" t="s">
        <v>45</v>
      </c>
      <c r="F80" t="s">
        <v>15</v>
      </c>
      <c r="G80" t="s">
        <v>68</v>
      </c>
      <c r="H80" t="s">
        <v>87</v>
      </c>
      <c r="I80">
        <v>5</v>
      </c>
      <c r="J80">
        <v>42.4</v>
      </c>
      <c r="K80" t="s">
        <v>25</v>
      </c>
      <c r="L80" t="s">
        <v>71</v>
      </c>
      <c r="M80" t="s">
        <v>285</v>
      </c>
      <c r="N80">
        <v>212</v>
      </c>
    </row>
    <row r="81" spans="1:14" x14ac:dyDescent="0.2">
      <c r="A81">
        <v>1131</v>
      </c>
      <c r="B81" s="1">
        <v>45548</v>
      </c>
      <c r="C81" t="s">
        <v>157</v>
      </c>
      <c r="D81" t="s">
        <v>195</v>
      </c>
      <c r="E81" t="s">
        <v>32</v>
      </c>
      <c r="F81" t="s">
        <v>15</v>
      </c>
      <c r="G81" t="s">
        <v>61</v>
      </c>
      <c r="H81" t="s">
        <v>196</v>
      </c>
      <c r="I81">
        <v>5</v>
      </c>
      <c r="J81">
        <v>84.05</v>
      </c>
      <c r="K81" t="s">
        <v>53</v>
      </c>
      <c r="L81" t="s">
        <v>19</v>
      </c>
      <c r="M81" t="s">
        <v>285</v>
      </c>
      <c r="N81">
        <v>420.25</v>
      </c>
    </row>
    <row r="82" spans="1:14" x14ac:dyDescent="0.2">
      <c r="A82">
        <v>1004</v>
      </c>
      <c r="B82" s="1">
        <v>45467</v>
      </c>
      <c r="C82" t="s">
        <v>93</v>
      </c>
      <c r="D82" t="s">
        <v>197</v>
      </c>
      <c r="E82" t="s">
        <v>143</v>
      </c>
      <c r="F82" t="s">
        <v>15</v>
      </c>
      <c r="G82" t="s">
        <v>28</v>
      </c>
      <c r="H82" t="s">
        <v>162</v>
      </c>
      <c r="I82">
        <v>1</v>
      </c>
      <c r="J82">
        <v>94.38</v>
      </c>
      <c r="K82" t="s">
        <v>25</v>
      </c>
      <c r="L82" t="s">
        <v>47</v>
      </c>
      <c r="M82" t="s">
        <v>285</v>
      </c>
      <c r="N82">
        <v>94.38</v>
      </c>
    </row>
    <row r="83" spans="1:14" x14ac:dyDescent="0.2">
      <c r="A83">
        <v>1069</v>
      </c>
      <c r="B83" s="1">
        <v>45374</v>
      </c>
      <c r="C83" t="s">
        <v>157</v>
      </c>
      <c r="D83" t="s">
        <v>198</v>
      </c>
      <c r="E83" t="s">
        <v>14</v>
      </c>
      <c r="F83" t="s">
        <v>15</v>
      </c>
      <c r="G83" t="s">
        <v>56</v>
      </c>
      <c r="H83" t="s">
        <v>199</v>
      </c>
      <c r="I83">
        <v>2</v>
      </c>
      <c r="J83">
        <v>242.64</v>
      </c>
      <c r="K83" t="s">
        <v>18</v>
      </c>
      <c r="L83" t="s">
        <v>30</v>
      </c>
      <c r="M83" t="s">
        <v>285</v>
      </c>
      <c r="N83">
        <v>485.28</v>
      </c>
    </row>
    <row r="84" spans="1:14" x14ac:dyDescent="0.2">
      <c r="A84">
        <v>1172</v>
      </c>
      <c r="B84" s="1">
        <v>45763</v>
      </c>
      <c r="C84" t="s">
        <v>98</v>
      </c>
      <c r="D84" t="s">
        <v>200</v>
      </c>
      <c r="E84" t="s">
        <v>143</v>
      </c>
      <c r="F84" t="s">
        <v>15</v>
      </c>
      <c r="G84" t="s">
        <v>16</v>
      </c>
      <c r="H84" t="s">
        <v>132</v>
      </c>
      <c r="I84">
        <v>1</v>
      </c>
      <c r="J84">
        <v>236.15</v>
      </c>
      <c r="K84" t="s">
        <v>18</v>
      </c>
      <c r="L84" t="s">
        <v>36</v>
      </c>
      <c r="M84" t="s">
        <v>285</v>
      </c>
      <c r="N84">
        <v>236.15</v>
      </c>
    </row>
    <row r="85" spans="1:14" x14ac:dyDescent="0.2">
      <c r="A85">
        <v>1169</v>
      </c>
      <c r="B85" s="1">
        <v>45932</v>
      </c>
      <c r="C85" t="s">
        <v>26</v>
      </c>
      <c r="D85" t="s">
        <v>201</v>
      </c>
      <c r="E85" t="s">
        <v>116</v>
      </c>
      <c r="F85" t="s">
        <v>15</v>
      </c>
      <c r="G85" t="s">
        <v>51</v>
      </c>
      <c r="H85" t="s">
        <v>80</v>
      </c>
      <c r="I85">
        <v>4</v>
      </c>
      <c r="J85">
        <v>33.74</v>
      </c>
      <c r="K85" t="s">
        <v>53</v>
      </c>
      <c r="L85" t="s">
        <v>30</v>
      </c>
      <c r="M85" t="s">
        <v>285</v>
      </c>
      <c r="N85">
        <v>134.96</v>
      </c>
    </row>
    <row r="86" spans="1:14" x14ac:dyDescent="0.2">
      <c r="A86">
        <v>1132</v>
      </c>
      <c r="B86" s="1">
        <v>45334</v>
      </c>
      <c r="C86" t="s">
        <v>72</v>
      </c>
      <c r="D86" t="s">
        <v>202</v>
      </c>
      <c r="E86" t="s">
        <v>22</v>
      </c>
      <c r="F86" t="s">
        <v>15</v>
      </c>
      <c r="G86" t="s">
        <v>41</v>
      </c>
      <c r="H86" t="s">
        <v>42</v>
      </c>
      <c r="I86">
        <v>1</v>
      </c>
      <c r="J86">
        <v>12813</v>
      </c>
      <c r="K86" t="s">
        <v>35</v>
      </c>
      <c r="L86" t="s">
        <v>71</v>
      </c>
      <c r="M86" t="s">
        <v>285</v>
      </c>
      <c r="N86">
        <v>12813</v>
      </c>
    </row>
    <row r="87" spans="1:14" x14ac:dyDescent="0.2">
      <c r="A87">
        <v>1141</v>
      </c>
      <c r="B87" s="1">
        <v>45669</v>
      </c>
      <c r="C87" t="s">
        <v>98</v>
      </c>
      <c r="D87" t="s">
        <v>203</v>
      </c>
      <c r="E87" t="s">
        <v>45</v>
      </c>
      <c r="F87" t="s">
        <v>15</v>
      </c>
      <c r="G87" t="s">
        <v>16</v>
      </c>
      <c r="H87" t="s">
        <v>153</v>
      </c>
      <c r="I87">
        <v>1</v>
      </c>
      <c r="J87">
        <v>207.93</v>
      </c>
      <c r="K87" t="s">
        <v>18</v>
      </c>
      <c r="L87" t="s">
        <v>19</v>
      </c>
      <c r="M87" t="s">
        <v>285</v>
      </c>
      <c r="N87">
        <v>207.93</v>
      </c>
    </row>
    <row r="88" spans="1:14" x14ac:dyDescent="0.2">
      <c r="A88">
        <v>1061</v>
      </c>
      <c r="B88" s="1">
        <v>45587</v>
      </c>
      <c r="C88" t="s">
        <v>150</v>
      </c>
      <c r="D88" t="s">
        <v>204</v>
      </c>
      <c r="E88" t="s">
        <v>138</v>
      </c>
      <c r="F88" t="s">
        <v>15</v>
      </c>
      <c r="G88" t="s">
        <v>51</v>
      </c>
      <c r="H88" t="s">
        <v>52</v>
      </c>
      <c r="I88">
        <v>1</v>
      </c>
      <c r="J88">
        <v>83.66</v>
      </c>
      <c r="K88" t="s">
        <v>25</v>
      </c>
      <c r="L88" t="s">
        <v>36</v>
      </c>
      <c r="M88" t="s">
        <v>285</v>
      </c>
      <c r="N88">
        <v>83.66</v>
      </c>
    </row>
    <row r="89" spans="1:14" x14ac:dyDescent="0.2">
      <c r="A89">
        <v>1057</v>
      </c>
      <c r="B89" s="1">
        <v>45494</v>
      </c>
      <c r="C89" t="s">
        <v>110</v>
      </c>
      <c r="D89" t="s">
        <v>205</v>
      </c>
      <c r="E89" t="s">
        <v>86</v>
      </c>
      <c r="F89" t="s">
        <v>15</v>
      </c>
      <c r="G89" t="s">
        <v>61</v>
      </c>
      <c r="H89" t="s">
        <v>168</v>
      </c>
      <c r="I89">
        <v>1</v>
      </c>
      <c r="J89">
        <v>178.2</v>
      </c>
      <c r="K89" t="s">
        <v>53</v>
      </c>
      <c r="L89" t="s">
        <v>71</v>
      </c>
      <c r="M89" t="s">
        <v>285</v>
      </c>
      <c r="N89">
        <v>178.2</v>
      </c>
    </row>
    <row r="90" spans="1:14" x14ac:dyDescent="0.2">
      <c r="A90">
        <v>1009</v>
      </c>
      <c r="B90" s="1">
        <v>45597</v>
      </c>
      <c r="C90" t="s">
        <v>20</v>
      </c>
      <c r="D90" t="s">
        <v>206</v>
      </c>
      <c r="E90" t="s">
        <v>27</v>
      </c>
      <c r="F90" t="s">
        <v>15</v>
      </c>
      <c r="G90" t="s">
        <v>33</v>
      </c>
      <c r="H90" t="s">
        <v>34</v>
      </c>
      <c r="I90">
        <v>1</v>
      </c>
      <c r="K90" t="s">
        <v>35</v>
      </c>
      <c r="L90" t="s">
        <v>71</v>
      </c>
      <c r="M90" t="s">
        <v>285</v>
      </c>
    </row>
    <row r="91" spans="1:14" x14ac:dyDescent="0.2">
      <c r="A91">
        <v>1048</v>
      </c>
      <c r="B91" s="1">
        <v>45302</v>
      </c>
      <c r="C91" t="s">
        <v>58</v>
      </c>
      <c r="D91" t="s">
        <v>207</v>
      </c>
      <c r="E91" t="s">
        <v>86</v>
      </c>
      <c r="F91" t="s">
        <v>15</v>
      </c>
      <c r="G91" t="s">
        <v>28</v>
      </c>
      <c r="H91" t="s">
        <v>187</v>
      </c>
      <c r="I91">
        <v>1</v>
      </c>
      <c r="J91">
        <v>4955</v>
      </c>
      <c r="K91" t="s">
        <v>18</v>
      </c>
      <c r="L91" t="s">
        <v>30</v>
      </c>
      <c r="M91" t="s">
        <v>285</v>
      </c>
      <c r="N91">
        <v>4955</v>
      </c>
    </row>
    <row r="92" spans="1:14" x14ac:dyDescent="0.2">
      <c r="A92">
        <v>1129</v>
      </c>
      <c r="B92" s="1">
        <v>45420</v>
      </c>
      <c r="C92" t="s">
        <v>78</v>
      </c>
      <c r="D92" t="s">
        <v>208</v>
      </c>
      <c r="E92" t="s">
        <v>22</v>
      </c>
      <c r="F92" t="s">
        <v>15</v>
      </c>
      <c r="G92" t="s">
        <v>16</v>
      </c>
      <c r="H92" t="s">
        <v>70</v>
      </c>
      <c r="I92">
        <v>2</v>
      </c>
      <c r="J92">
        <v>249.9</v>
      </c>
      <c r="K92" t="s">
        <v>35</v>
      </c>
      <c r="L92" t="s">
        <v>36</v>
      </c>
      <c r="M92" t="s">
        <v>285</v>
      </c>
      <c r="N92">
        <v>499.8</v>
      </c>
    </row>
    <row r="93" spans="1:14" x14ac:dyDescent="0.2">
      <c r="A93">
        <v>1091</v>
      </c>
      <c r="B93" s="1">
        <v>45409</v>
      </c>
      <c r="C93" t="s">
        <v>58</v>
      </c>
      <c r="D93" t="s">
        <v>209</v>
      </c>
      <c r="E93" t="s">
        <v>27</v>
      </c>
      <c r="F93" t="s">
        <v>15</v>
      </c>
      <c r="G93" t="s">
        <v>41</v>
      </c>
      <c r="H93" t="s">
        <v>126</v>
      </c>
      <c r="I93">
        <v>0</v>
      </c>
      <c r="J93">
        <v>1659</v>
      </c>
      <c r="K93" t="s">
        <v>25</v>
      </c>
      <c r="L93" t="s">
        <v>36</v>
      </c>
      <c r="M93" t="s">
        <v>285</v>
      </c>
      <c r="N93">
        <v>0</v>
      </c>
    </row>
    <row r="94" spans="1:14" x14ac:dyDescent="0.2">
      <c r="A94">
        <v>1171</v>
      </c>
      <c r="B94" s="1">
        <v>45418</v>
      </c>
      <c r="C94" t="s">
        <v>166</v>
      </c>
      <c r="D94" t="s">
        <v>210</v>
      </c>
      <c r="E94" t="s">
        <v>116</v>
      </c>
      <c r="F94" t="s">
        <v>15</v>
      </c>
      <c r="G94" t="s">
        <v>51</v>
      </c>
      <c r="H94" t="s">
        <v>65</v>
      </c>
      <c r="I94">
        <v>4</v>
      </c>
      <c r="J94">
        <v>8.9700000000000006</v>
      </c>
      <c r="K94" t="s">
        <v>35</v>
      </c>
      <c r="L94" t="s">
        <v>19</v>
      </c>
      <c r="M94" t="s">
        <v>285</v>
      </c>
      <c r="N94">
        <v>35.880000000000003</v>
      </c>
    </row>
    <row r="95" spans="1:14" x14ac:dyDescent="0.2">
      <c r="A95">
        <v>1154</v>
      </c>
      <c r="B95" s="1">
        <v>45768</v>
      </c>
      <c r="C95" t="s">
        <v>39</v>
      </c>
      <c r="D95" t="s">
        <v>211</v>
      </c>
      <c r="E95" t="s">
        <v>143</v>
      </c>
      <c r="F95" t="s">
        <v>15</v>
      </c>
      <c r="G95" t="s">
        <v>91</v>
      </c>
      <c r="H95" t="s">
        <v>212</v>
      </c>
      <c r="I95">
        <v>5</v>
      </c>
      <c r="K95" t="s">
        <v>53</v>
      </c>
      <c r="L95" t="s">
        <v>47</v>
      </c>
      <c r="M95" t="s">
        <v>285</v>
      </c>
    </row>
    <row r="96" spans="1:14" x14ac:dyDescent="0.2">
      <c r="A96">
        <v>1032</v>
      </c>
      <c r="B96" s="1">
        <v>45768</v>
      </c>
      <c r="C96" t="s">
        <v>66</v>
      </c>
      <c r="D96" t="s">
        <v>213</v>
      </c>
      <c r="E96" t="s">
        <v>50</v>
      </c>
      <c r="F96" t="s">
        <v>15</v>
      </c>
      <c r="G96" t="s">
        <v>16</v>
      </c>
      <c r="H96" t="s">
        <v>17</v>
      </c>
      <c r="I96">
        <v>5</v>
      </c>
      <c r="J96">
        <v>209.26</v>
      </c>
      <c r="K96" t="s">
        <v>25</v>
      </c>
      <c r="L96" t="s">
        <v>36</v>
      </c>
      <c r="M96" t="s">
        <v>285</v>
      </c>
      <c r="N96">
        <v>1046.3</v>
      </c>
    </row>
    <row r="97" spans="1:14" x14ac:dyDescent="0.2">
      <c r="A97">
        <v>1030</v>
      </c>
      <c r="B97" s="1">
        <v>45733</v>
      </c>
      <c r="C97" t="s">
        <v>43</v>
      </c>
      <c r="D97" t="s">
        <v>214</v>
      </c>
      <c r="E97" t="s">
        <v>27</v>
      </c>
      <c r="F97" t="s">
        <v>15</v>
      </c>
      <c r="G97" t="s">
        <v>56</v>
      </c>
      <c r="H97" t="s">
        <v>113</v>
      </c>
      <c r="I97">
        <v>1</v>
      </c>
      <c r="J97">
        <v>202.6</v>
      </c>
      <c r="K97" t="s">
        <v>18</v>
      </c>
      <c r="L97" t="s">
        <v>47</v>
      </c>
      <c r="M97" t="s">
        <v>285</v>
      </c>
      <c r="N97">
        <v>202.6</v>
      </c>
    </row>
    <row r="98" spans="1:14" x14ac:dyDescent="0.2">
      <c r="A98">
        <v>1038</v>
      </c>
      <c r="B98" s="1">
        <v>45722</v>
      </c>
      <c r="C98" t="s">
        <v>93</v>
      </c>
      <c r="D98" t="s">
        <v>215</v>
      </c>
      <c r="E98" t="s">
        <v>45</v>
      </c>
      <c r="F98" t="s">
        <v>15</v>
      </c>
      <c r="G98" t="s">
        <v>33</v>
      </c>
      <c r="H98" t="s">
        <v>34</v>
      </c>
      <c r="I98">
        <v>3</v>
      </c>
      <c r="J98">
        <v>20.74</v>
      </c>
      <c r="K98" t="s">
        <v>35</v>
      </c>
      <c r="L98" t="s">
        <v>36</v>
      </c>
      <c r="M98" t="s">
        <v>285</v>
      </c>
      <c r="N98">
        <v>62.22</v>
      </c>
    </row>
    <row r="99" spans="1:14" x14ac:dyDescent="0.2">
      <c r="A99">
        <v>1142</v>
      </c>
      <c r="B99" s="1">
        <v>45813</v>
      </c>
      <c r="C99" t="s">
        <v>66</v>
      </c>
      <c r="D99" t="s">
        <v>216</v>
      </c>
      <c r="E99" t="s">
        <v>45</v>
      </c>
      <c r="F99" t="s">
        <v>15</v>
      </c>
      <c r="G99" t="s">
        <v>16</v>
      </c>
      <c r="H99" t="s">
        <v>153</v>
      </c>
      <c r="I99">
        <v>1</v>
      </c>
      <c r="J99">
        <v>70.05</v>
      </c>
      <c r="K99" t="s">
        <v>18</v>
      </c>
      <c r="L99" t="s">
        <v>19</v>
      </c>
      <c r="M99" t="s">
        <v>285</v>
      </c>
      <c r="N99">
        <v>70.05</v>
      </c>
    </row>
    <row r="100" spans="1:14" x14ac:dyDescent="0.2">
      <c r="A100">
        <v>1017</v>
      </c>
      <c r="B100" s="1">
        <v>45691</v>
      </c>
      <c r="C100" t="s">
        <v>20</v>
      </c>
      <c r="D100" t="s">
        <v>217</v>
      </c>
      <c r="E100" t="s">
        <v>32</v>
      </c>
      <c r="F100" t="s">
        <v>15</v>
      </c>
      <c r="G100" t="s">
        <v>51</v>
      </c>
      <c r="H100" t="s">
        <v>218</v>
      </c>
      <c r="I100">
        <v>4</v>
      </c>
      <c r="J100">
        <v>12398</v>
      </c>
      <c r="K100" t="s">
        <v>53</v>
      </c>
      <c r="L100" t="s">
        <v>71</v>
      </c>
      <c r="M100" t="s">
        <v>285</v>
      </c>
      <c r="N100">
        <v>49592</v>
      </c>
    </row>
    <row r="101" spans="1:14" x14ac:dyDescent="0.2">
      <c r="A101">
        <v>1168</v>
      </c>
      <c r="B101" s="1">
        <v>45782</v>
      </c>
      <c r="C101" t="s">
        <v>63</v>
      </c>
      <c r="D101" t="s">
        <v>219</v>
      </c>
      <c r="E101" t="s">
        <v>50</v>
      </c>
      <c r="F101" t="s">
        <v>15</v>
      </c>
      <c r="G101" t="s">
        <v>51</v>
      </c>
      <c r="H101" t="s">
        <v>97</v>
      </c>
      <c r="I101">
        <v>2</v>
      </c>
      <c r="J101">
        <v>152.72</v>
      </c>
      <c r="K101" t="s">
        <v>25</v>
      </c>
      <c r="L101" t="s">
        <v>19</v>
      </c>
      <c r="M101" t="s">
        <v>285</v>
      </c>
      <c r="N101">
        <v>305.44</v>
      </c>
    </row>
    <row r="102" spans="1:14" x14ac:dyDescent="0.2">
      <c r="A102">
        <v>1086</v>
      </c>
      <c r="B102" s="1">
        <v>45794</v>
      </c>
      <c r="C102" t="s">
        <v>37</v>
      </c>
      <c r="D102" t="s">
        <v>220</v>
      </c>
      <c r="E102" t="s">
        <v>77</v>
      </c>
      <c r="F102" t="s">
        <v>15</v>
      </c>
      <c r="G102" t="s">
        <v>56</v>
      </c>
      <c r="H102" t="s">
        <v>177</v>
      </c>
      <c r="I102">
        <v>5</v>
      </c>
      <c r="J102">
        <v>241.19</v>
      </c>
      <c r="K102" t="s">
        <v>53</v>
      </c>
      <c r="L102" t="s">
        <v>36</v>
      </c>
      <c r="M102" t="s">
        <v>285</v>
      </c>
      <c r="N102">
        <v>1205.95</v>
      </c>
    </row>
    <row r="103" spans="1:14" x14ac:dyDescent="0.2">
      <c r="A103">
        <v>1143</v>
      </c>
      <c r="B103" s="1">
        <v>45714</v>
      </c>
      <c r="C103" t="s">
        <v>136</v>
      </c>
      <c r="D103" t="s">
        <v>137</v>
      </c>
      <c r="E103" t="s">
        <v>138</v>
      </c>
      <c r="F103" t="s">
        <v>15</v>
      </c>
      <c r="G103" t="s">
        <v>28</v>
      </c>
      <c r="H103" t="s">
        <v>139</v>
      </c>
      <c r="I103">
        <v>2</v>
      </c>
      <c r="J103">
        <v>237.31</v>
      </c>
      <c r="K103" t="s">
        <v>25</v>
      </c>
      <c r="L103" t="s">
        <v>36</v>
      </c>
      <c r="M103" t="s">
        <v>285</v>
      </c>
      <c r="N103">
        <v>474.62</v>
      </c>
    </row>
    <row r="104" spans="1:14" x14ac:dyDescent="0.2">
      <c r="A104">
        <v>1104</v>
      </c>
      <c r="B104" s="1">
        <v>45567</v>
      </c>
      <c r="C104" t="s">
        <v>58</v>
      </c>
      <c r="D104" t="s">
        <v>221</v>
      </c>
      <c r="E104" t="s">
        <v>60</v>
      </c>
      <c r="F104" t="s">
        <v>15</v>
      </c>
      <c r="G104" t="s">
        <v>41</v>
      </c>
      <c r="H104" t="s">
        <v>106</v>
      </c>
      <c r="I104">
        <v>1</v>
      </c>
      <c r="J104">
        <v>225.29</v>
      </c>
      <c r="K104" t="s">
        <v>18</v>
      </c>
      <c r="L104" t="s">
        <v>71</v>
      </c>
      <c r="M104" t="s">
        <v>285</v>
      </c>
      <c r="N104">
        <v>225.29</v>
      </c>
    </row>
    <row r="105" spans="1:14" x14ac:dyDescent="0.2">
      <c r="A105">
        <v>1008</v>
      </c>
      <c r="B105" s="1">
        <v>45565</v>
      </c>
      <c r="C105" t="s">
        <v>72</v>
      </c>
      <c r="D105" t="s">
        <v>222</v>
      </c>
      <c r="E105" t="s">
        <v>45</v>
      </c>
      <c r="F105" t="s">
        <v>15</v>
      </c>
      <c r="G105" t="s">
        <v>16</v>
      </c>
      <c r="H105" t="s">
        <v>70</v>
      </c>
      <c r="I105">
        <v>2</v>
      </c>
      <c r="J105">
        <v>249.05</v>
      </c>
      <c r="K105" t="s">
        <v>35</v>
      </c>
      <c r="L105" t="s">
        <v>71</v>
      </c>
      <c r="M105" t="s">
        <v>285</v>
      </c>
      <c r="N105">
        <v>498.1</v>
      </c>
    </row>
    <row r="106" spans="1:14" x14ac:dyDescent="0.2">
      <c r="A106">
        <v>1088</v>
      </c>
      <c r="B106" s="1">
        <v>45700</v>
      </c>
      <c r="C106" t="s">
        <v>58</v>
      </c>
      <c r="D106" t="s">
        <v>223</v>
      </c>
      <c r="E106" t="s">
        <v>103</v>
      </c>
      <c r="F106" t="s">
        <v>15</v>
      </c>
      <c r="G106" t="s">
        <v>56</v>
      </c>
      <c r="H106" t="s">
        <v>57</v>
      </c>
      <c r="I106">
        <v>0</v>
      </c>
      <c r="J106">
        <v>57.68</v>
      </c>
      <c r="K106" t="s">
        <v>25</v>
      </c>
      <c r="L106" t="s">
        <v>36</v>
      </c>
      <c r="M106" t="s">
        <v>285</v>
      </c>
      <c r="N106">
        <v>0</v>
      </c>
    </row>
    <row r="107" spans="1:14" x14ac:dyDescent="0.2">
      <c r="A107">
        <v>1106</v>
      </c>
      <c r="B107" s="1">
        <v>45650</v>
      </c>
      <c r="C107" t="s">
        <v>98</v>
      </c>
      <c r="D107" t="s">
        <v>224</v>
      </c>
      <c r="E107" t="s">
        <v>45</v>
      </c>
      <c r="F107" t="s">
        <v>15</v>
      </c>
      <c r="G107" t="s">
        <v>23</v>
      </c>
      <c r="H107" t="s">
        <v>46</v>
      </c>
      <c r="I107">
        <v>5</v>
      </c>
      <c r="J107">
        <v>213.63</v>
      </c>
      <c r="K107" t="s">
        <v>35</v>
      </c>
      <c r="L107" t="s">
        <v>71</v>
      </c>
      <c r="M107" t="s">
        <v>285</v>
      </c>
      <c r="N107">
        <v>1068.1500000000001</v>
      </c>
    </row>
    <row r="108" spans="1:14" x14ac:dyDescent="0.2">
      <c r="A108">
        <v>1179</v>
      </c>
      <c r="B108" s="1">
        <v>45370</v>
      </c>
      <c r="C108" t="s">
        <v>54</v>
      </c>
      <c r="D108" t="s">
        <v>225</v>
      </c>
      <c r="E108" t="s">
        <v>22</v>
      </c>
      <c r="F108" t="s">
        <v>15</v>
      </c>
      <c r="G108" t="s">
        <v>23</v>
      </c>
      <c r="H108" t="s">
        <v>147</v>
      </c>
      <c r="I108">
        <v>3</v>
      </c>
      <c r="J108">
        <v>82.05</v>
      </c>
      <c r="K108" t="s">
        <v>35</v>
      </c>
      <c r="L108" t="s">
        <v>71</v>
      </c>
      <c r="M108" t="s">
        <v>285</v>
      </c>
      <c r="N108">
        <v>246.14999999999998</v>
      </c>
    </row>
    <row r="109" spans="1:14" x14ac:dyDescent="0.2">
      <c r="A109">
        <v>1102</v>
      </c>
      <c r="B109" s="1">
        <v>45350</v>
      </c>
      <c r="C109" t="s">
        <v>12</v>
      </c>
      <c r="D109" t="s">
        <v>226</v>
      </c>
      <c r="E109" t="s">
        <v>14</v>
      </c>
      <c r="F109" t="s">
        <v>15</v>
      </c>
      <c r="G109" t="s">
        <v>61</v>
      </c>
      <c r="H109" t="s">
        <v>173</v>
      </c>
      <c r="I109">
        <v>5</v>
      </c>
      <c r="J109">
        <v>149.9</v>
      </c>
      <c r="K109" t="s">
        <v>25</v>
      </c>
      <c r="L109" t="s">
        <v>30</v>
      </c>
      <c r="M109" t="s">
        <v>285</v>
      </c>
      <c r="N109">
        <v>749.5</v>
      </c>
    </row>
    <row r="110" spans="1:14" x14ac:dyDescent="0.2">
      <c r="A110">
        <v>1153</v>
      </c>
      <c r="B110" s="1">
        <v>45298</v>
      </c>
      <c r="C110" t="s">
        <v>26</v>
      </c>
      <c r="D110" t="s">
        <v>227</v>
      </c>
      <c r="E110" t="s">
        <v>138</v>
      </c>
      <c r="F110" t="s">
        <v>15</v>
      </c>
      <c r="G110" t="s">
        <v>68</v>
      </c>
      <c r="H110" t="s">
        <v>69</v>
      </c>
      <c r="I110">
        <v>1</v>
      </c>
      <c r="J110">
        <v>16897</v>
      </c>
      <c r="K110" t="s">
        <v>25</v>
      </c>
      <c r="L110" t="s">
        <v>36</v>
      </c>
      <c r="M110" t="s">
        <v>285</v>
      </c>
      <c r="N110">
        <v>16897</v>
      </c>
    </row>
    <row r="111" spans="1:14" x14ac:dyDescent="0.2">
      <c r="A111">
        <v>1053</v>
      </c>
      <c r="B111" s="1">
        <v>45550</v>
      </c>
      <c r="C111" t="s">
        <v>63</v>
      </c>
      <c r="D111" t="s">
        <v>228</v>
      </c>
      <c r="E111" t="s">
        <v>27</v>
      </c>
      <c r="F111" t="s">
        <v>15</v>
      </c>
      <c r="G111" t="s">
        <v>23</v>
      </c>
      <c r="H111" t="s">
        <v>46</v>
      </c>
      <c r="I111">
        <v>2</v>
      </c>
      <c r="J111">
        <v>145.65</v>
      </c>
      <c r="K111" t="s">
        <v>53</v>
      </c>
      <c r="L111" t="s">
        <v>36</v>
      </c>
      <c r="M111" t="s">
        <v>285</v>
      </c>
      <c r="N111">
        <v>291.3</v>
      </c>
    </row>
    <row r="112" spans="1:14" x14ac:dyDescent="0.2">
      <c r="A112">
        <v>1118</v>
      </c>
      <c r="B112" s="1">
        <v>45337</v>
      </c>
      <c r="C112" t="s">
        <v>83</v>
      </c>
      <c r="D112" t="s">
        <v>229</v>
      </c>
      <c r="E112" t="s">
        <v>50</v>
      </c>
      <c r="F112" t="s">
        <v>15</v>
      </c>
      <c r="G112" t="s">
        <v>28</v>
      </c>
      <c r="H112" t="s">
        <v>187</v>
      </c>
      <c r="I112">
        <v>1</v>
      </c>
      <c r="J112">
        <v>165.99</v>
      </c>
      <c r="K112" t="s">
        <v>35</v>
      </c>
      <c r="L112" t="s">
        <v>47</v>
      </c>
      <c r="M112" t="s">
        <v>285</v>
      </c>
      <c r="N112">
        <v>165.99</v>
      </c>
    </row>
    <row r="113" spans="1:14" x14ac:dyDescent="0.2">
      <c r="A113">
        <v>1006</v>
      </c>
      <c r="B113" s="1">
        <v>45438</v>
      </c>
      <c r="C113" t="s">
        <v>78</v>
      </c>
      <c r="D113" t="s">
        <v>230</v>
      </c>
      <c r="E113" t="s">
        <v>116</v>
      </c>
      <c r="F113" t="s">
        <v>15</v>
      </c>
      <c r="G113" t="s">
        <v>91</v>
      </c>
      <c r="H113" t="s">
        <v>180</v>
      </c>
      <c r="I113">
        <v>4</v>
      </c>
      <c r="J113">
        <v>143.96</v>
      </c>
      <c r="K113" t="s">
        <v>25</v>
      </c>
      <c r="L113" t="s">
        <v>47</v>
      </c>
      <c r="M113" t="s">
        <v>285</v>
      </c>
      <c r="N113">
        <v>575.84</v>
      </c>
    </row>
    <row r="114" spans="1:14" x14ac:dyDescent="0.2">
      <c r="A114">
        <v>1046</v>
      </c>
      <c r="B114" s="1">
        <v>45826</v>
      </c>
      <c r="C114" t="s">
        <v>72</v>
      </c>
      <c r="D114" t="s">
        <v>231</v>
      </c>
      <c r="E114" t="s">
        <v>116</v>
      </c>
      <c r="F114" t="s">
        <v>15</v>
      </c>
      <c r="G114" t="s">
        <v>68</v>
      </c>
      <c r="H114" t="s">
        <v>108</v>
      </c>
      <c r="I114">
        <v>2</v>
      </c>
      <c r="J114">
        <v>93.74</v>
      </c>
      <c r="K114" t="s">
        <v>53</v>
      </c>
      <c r="L114" t="s">
        <v>47</v>
      </c>
      <c r="M114" t="s">
        <v>285</v>
      </c>
      <c r="N114">
        <v>187.48</v>
      </c>
    </row>
    <row r="115" spans="1:14" x14ac:dyDescent="0.2">
      <c r="A115">
        <v>1147</v>
      </c>
      <c r="B115" s="1">
        <v>45422</v>
      </c>
      <c r="C115" t="s">
        <v>95</v>
      </c>
      <c r="D115" t="s">
        <v>232</v>
      </c>
      <c r="E115" t="s">
        <v>45</v>
      </c>
      <c r="F115" t="s">
        <v>15</v>
      </c>
      <c r="G115" t="s">
        <v>51</v>
      </c>
      <c r="H115" t="s">
        <v>97</v>
      </c>
      <c r="I115">
        <v>2</v>
      </c>
      <c r="K115" t="s">
        <v>53</v>
      </c>
      <c r="L115" t="s">
        <v>30</v>
      </c>
      <c r="M115" t="s">
        <v>285</v>
      </c>
    </row>
    <row r="116" spans="1:14" x14ac:dyDescent="0.2">
      <c r="A116">
        <v>1029</v>
      </c>
      <c r="B116" s="1">
        <v>45686</v>
      </c>
      <c r="C116" t="s">
        <v>20</v>
      </c>
      <c r="D116" t="s">
        <v>233</v>
      </c>
      <c r="E116" t="s">
        <v>27</v>
      </c>
      <c r="F116" t="s">
        <v>15</v>
      </c>
      <c r="G116" t="s">
        <v>16</v>
      </c>
      <c r="H116" t="s">
        <v>153</v>
      </c>
      <c r="I116">
        <v>1</v>
      </c>
      <c r="J116">
        <v>111.47</v>
      </c>
      <c r="K116" t="s">
        <v>53</v>
      </c>
      <c r="L116" t="s">
        <v>36</v>
      </c>
      <c r="M116" t="s">
        <v>285</v>
      </c>
      <c r="N116">
        <v>111.47</v>
      </c>
    </row>
    <row r="117" spans="1:14" x14ac:dyDescent="0.2">
      <c r="A117">
        <v>1100</v>
      </c>
      <c r="B117" s="1">
        <v>45533</v>
      </c>
      <c r="C117" t="s">
        <v>37</v>
      </c>
      <c r="D117" t="s">
        <v>234</v>
      </c>
      <c r="E117" t="s">
        <v>116</v>
      </c>
      <c r="F117" t="s">
        <v>15</v>
      </c>
      <c r="G117" t="s">
        <v>51</v>
      </c>
      <c r="H117" t="s">
        <v>65</v>
      </c>
      <c r="I117">
        <v>2</v>
      </c>
      <c r="J117">
        <v>52.51</v>
      </c>
      <c r="K117" t="s">
        <v>53</v>
      </c>
      <c r="L117" t="s">
        <v>47</v>
      </c>
      <c r="M117" t="s">
        <v>285</v>
      </c>
      <c r="N117">
        <v>105.02</v>
      </c>
    </row>
    <row r="118" spans="1:14" x14ac:dyDescent="0.2">
      <c r="A118">
        <v>1071</v>
      </c>
      <c r="B118" s="1">
        <v>45542</v>
      </c>
      <c r="C118" t="s">
        <v>20</v>
      </c>
      <c r="D118" t="s">
        <v>235</v>
      </c>
      <c r="E118" t="s">
        <v>50</v>
      </c>
      <c r="F118" t="s">
        <v>15</v>
      </c>
      <c r="G118" t="s">
        <v>68</v>
      </c>
      <c r="H118" t="s">
        <v>236</v>
      </c>
      <c r="I118">
        <v>5</v>
      </c>
      <c r="J118">
        <v>16.27</v>
      </c>
      <c r="K118" t="s">
        <v>25</v>
      </c>
      <c r="L118" t="s">
        <v>36</v>
      </c>
      <c r="M118" t="s">
        <v>285</v>
      </c>
      <c r="N118">
        <v>81.349999999999994</v>
      </c>
    </row>
    <row r="119" spans="1:14" x14ac:dyDescent="0.2">
      <c r="A119">
        <v>1096</v>
      </c>
      <c r="B119" s="1">
        <v>45627</v>
      </c>
      <c r="C119" t="s">
        <v>66</v>
      </c>
      <c r="D119" t="s">
        <v>237</v>
      </c>
      <c r="E119" t="s">
        <v>27</v>
      </c>
      <c r="F119" t="s">
        <v>15</v>
      </c>
      <c r="G119" t="s">
        <v>33</v>
      </c>
      <c r="H119" t="s">
        <v>34</v>
      </c>
      <c r="I119">
        <v>1</v>
      </c>
      <c r="J119">
        <v>55.08</v>
      </c>
      <c r="K119" t="s">
        <v>18</v>
      </c>
      <c r="L119" t="s">
        <v>71</v>
      </c>
      <c r="M119" t="s">
        <v>285</v>
      </c>
      <c r="N119">
        <v>55.08</v>
      </c>
    </row>
    <row r="120" spans="1:14" x14ac:dyDescent="0.2">
      <c r="A120">
        <v>1083</v>
      </c>
      <c r="B120" s="1">
        <v>45334</v>
      </c>
      <c r="C120" t="s">
        <v>129</v>
      </c>
      <c r="D120" t="s">
        <v>238</v>
      </c>
      <c r="E120" t="s">
        <v>32</v>
      </c>
      <c r="F120" t="s">
        <v>15</v>
      </c>
      <c r="G120" t="s">
        <v>33</v>
      </c>
      <c r="H120" t="s">
        <v>141</v>
      </c>
      <c r="I120">
        <v>1</v>
      </c>
      <c r="J120">
        <v>208.31</v>
      </c>
      <c r="K120" t="s">
        <v>35</v>
      </c>
      <c r="L120" t="s">
        <v>30</v>
      </c>
      <c r="M120" t="s">
        <v>285</v>
      </c>
      <c r="N120">
        <v>208.31</v>
      </c>
    </row>
    <row r="121" spans="1:14" x14ac:dyDescent="0.2">
      <c r="A121">
        <v>1062</v>
      </c>
      <c r="B121" s="1">
        <v>45765</v>
      </c>
      <c r="C121" t="s">
        <v>48</v>
      </c>
      <c r="D121" t="s">
        <v>49</v>
      </c>
      <c r="E121" t="s">
        <v>50</v>
      </c>
      <c r="F121" t="s">
        <v>15</v>
      </c>
      <c r="G121" t="s">
        <v>51</v>
      </c>
      <c r="H121" t="s">
        <v>52</v>
      </c>
      <c r="I121">
        <v>2</v>
      </c>
      <c r="J121">
        <v>84.2</v>
      </c>
      <c r="K121" t="s">
        <v>53</v>
      </c>
      <c r="L121" t="s">
        <v>19</v>
      </c>
      <c r="M121" t="s">
        <v>285</v>
      </c>
      <c r="N121">
        <v>168.4</v>
      </c>
    </row>
    <row r="122" spans="1:14" x14ac:dyDescent="0.2">
      <c r="A122">
        <v>1125</v>
      </c>
      <c r="B122" s="1">
        <v>45408</v>
      </c>
      <c r="C122" t="s">
        <v>12</v>
      </c>
      <c r="D122" t="s">
        <v>239</v>
      </c>
      <c r="E122" t="s">
        <v>86</v>
      </c>
      <c r="F122" t="s">
        <v>15</v>
      </c>
      <c r="G122" t="s">
        <v>28</v>
      </c>
      <c r="H122" t="s">
        <v>162</v>
      </c>
      <c r="I122">
        <v>1</v>
      </c>
      <c r="J122">
        <v>145.61000000000001</v>
      </c>
      <c r="K122" t="s">
        <v>53</v>
      </c>
      <c r="L122" t="s">
        <v>36</v>
      </c>
      <c r="M122" t="s">
        <v>285</v>
      </c>
      <c r="N122">
        <v>145.61000000000001</v>
      </c>
    </row>
    <row r="123" spans="1:14" x14ac:dyDescent="0.2">
      <c r="A123">
        <v>1081</v>
      </c>
      <c r="B123" s="1">
        <v>45533</v>
      </c>
      <c r="C123" t="s">
        <v>150</v>
      </c>
      <c r="D123" t="s">
        <v>240</v>
      </c>
      <c r="E123" t="s">
        <v>77</v>
      </c>
      <c r="F123" t="s">
        <v>15</v>
      </c>
      <c r="G123" t="s">
        <v>68</v>
      </c>
      <c r="H123" t="s">
        <v>241</v>
      </c>
      <c r="I123">
        <v>1</v>
      </c>
      <c r="K123" t="s">
        <v>18</v>
      </c>
      <c r="L123" t="s">
        <v>36</v>
      </c>
      <c r="M123" t="s">
        <v>285</v>
      </c>
    </row>
    <row r="124" spans="1:14" x14ac:dyDescent="0.2">
      <c r="A124">
        <v>1164</v>
      </c>
      <c r="B124" s="1">
        <v>45534</v>
      </c>
      <c r="C124" t="s">
        <v>37</v>
      </c>
      <c r="D124" t="s">
        <v>242</v>
      </c>
      <c r="E124" t="s">
        <v>22</v>
      </c>
      <c r="F124" t="s">
        <v>15</v>
      </c>
      <c r="G124" t="s">
        <v>51</v>
      </c>
      <c r="H124" t="s">
        <v>80</v>
      </c>
      <c r="I124">
        <v>0</v>
      </c>
      <c r="J124">
        <v>62.37</v>
      </c>
      <c r="K124" t="s">
        <v>35</v>
      </c>
      <c r="L124" t="s">
        <v>36</v>
      </c>
      <c r="M124" t="s">
        <v>285</v>
      </c>
      <c r="N124">
        <v>0</v>
      </c>
    </row>
    <row r="125" spans="1:14" x14ac:dyDescent="0.2">
      <c r="A125">
        <v>1045</v>
      </c>
      <c r="B125" s="1">
        <v>45362</v>
      </c>
      <c r="C125" t="s">
        <v>118</v>
      </c>
      <c r="D125" t="s">
        <v>243</v>
      </c>
      <c r="E125" t="s">
        <v>138</v>
      </c>
      <c r="F125" t="s">
        <v>15</v>
      </c>
      <c r="G125" t="s">
        <v>41</v>
      </c>
      <c r="H125" t="s">
        <v>42</v>
      </c>
      <c r="I125">
        <v>1</v>
      </c>
      <c r="J125">
        <v>200.08</v>
      </c>
      <c r="K125" t="s">
        <v>25</v>
      </c>
      <c r="L125" t="s">
        <v>36</v>
      </c>
      <c r="M125" t="s">
        <v>285</v>
      </c>
      <c r="N125">
        <v>200.08</v>
      </c>
    </row>
    <row r="126" spans="1:14" x14ac:dyDescent="0.2">
      <c r="A126">
        <v>1080</v>
      </c>
      <c r="B126" s="1">
        <v>45671</v>
      </c>
      <c r="C126" t="s">
        <v>72</v>
      </c>
      <c r="D126" t="s">
        <v>244</v>
      </c>
      <c r="E126" t="s">
        <v>103</v>
      </c>
      <c r="F126" t="s">
        <v>15</v>
      </c>
      <c r="G126" t="s">
        <v>41</v>
      </c>
      <c r="H126" t="s">
        <v>106</v>
      </c>
      <c r="I126">
        <v>1</v>
      </c>
      <c r="J126">
        <v>125.69</v>
      </c>
      <c r="K126" t="s">
        <v>74</v>
      </c>
      <c r="L126" t="s">
        <v>19</v>
      </c>
      <c r="M126" t="s">
        <v>285</v>
      </c>
      <c r="N126">
        <v>125.69</v>
      </c>
    </row>
    <row r="127" spans="1:14" x14ac:dyDescent="0.2">
      <c r="A127">
        <v>1122</v>
      </c>
      <c r="B127" s="1">
        <v>45462</v>
      </c>
      <c r="C127" t="s">
        <v>93</v>
      </c>
      <c r="D127" t="s">
        <v>245</v>
      </c>
      <c r="E127" t="s">
        <v>103</v>
      </c>
      <c r="F127" t="s">
        <v>15</v>
      </c>
      <c r="G127" t="s">
        <v>33</v>
      </c>
      <c r="H127" t="s">
        <v>246</v>
      </c>
      <c r="I127">
        <v>5</v>
      </c>
      <c r="J127">
        <v>24.62</v>
      </c>
      <c r="K127" t="s">
        <v>25</v>
      </c>
      <c r="L127" t="s">
        <v>36</v>
      </c>
      <c r="M127" t="s">
        <v>285</v>
      </c>
      <c r="N127">
        <v>123.10000000000001</v>
      </c>
    </row>
    <row r="128" spans="1:14" x14ac:dyDescent="0.2">
      <c r="A128">
        <v>1051</v>
      </c>
      <c r="B128" s="1">
        <v>45575</v>
      </c>
      <c r="C128" t="s">
        <v>83</v>
      </c>
      <c r="D128" t="s">
        <v>247</v>
      </c>
      <c r="E128" t="s">
        <v>143</v>
      </c>
      <c r="F128" t="s">
        <v>15</v>
      </c>
      <c r="G128" t="s">
        <v>56</v>
      </c>
      <c r="H128" t="s">
        <v>199</v>
      </c>
      <c r="I128">
        <v>1</v>
      </c>
      <c r="J128">
        <v>136.29</v>
      </c>
      <c r="K128" t="s">
        <v>25</v>
      </c>
      <c r="L128" t="s">
        <v>30</v>
      </c>
      <c r="M128" t="s">
        <v>285</v>
      </c>
      <c r="N128">
        <v>136.29</v>
      </c>
    </row>
    <row r="129" spans="1:14" x14ac:dyDescent="0.2">
      <c r="A129">
        <v>1167</v>
      </c>
      <c r="B129" s="1">
        <v>45671</v>
      </c>
      <c r="C129" t="s">
        <v>78</v>
      </c>
      <c r="D129" t="s">
        <v>248</v>
      </c>
      <c r="E129" t="s">
        <v>14</v>
      </c>
      <c r="F129" t="s">
        <v>15</v>
      </c>
      <c r="G129" t="s">
        <v>16</v>
      </c>
      <c r="H129" t="s">
        <v>135</v>
      </c>
      <c r="I129">
        <v>2</v>
      </c>
      <c r="J129">
        <v>3785</v>
      </c>
      <c r="K129" t="s">
        <v>25</v>
      </c>
      <c r="L129" t="s">
        <v>36</v>
      </c>
      <c r="M129" t="s">
        <v>285</v>
      </c>
      <c r="N129">
        <v>7570</v>
      </c>
    </row>
    <row r="130" spans="1:14" x14ac:dyDescent="0.2">
      <c r="A130">
        <v>1110</v>
      </c>
      <c r="B130" s="1">
        <v>45490</v>
      </c>
      <c r="C130" t="s">
        <v>150</v>
      </c>
      <c r="D130" t="s">
        <v>249</v>
      </c>
      <c r="E130" t="s">
        <v>116</v>
      </c>
      <c r="F130" t="s">
        <v>15</v>
      </c>
      <c r="G130" t="s">
        <v>68</v>
      </c>
      <c r="H130" t="s">
        <v>69</v>
      </c>
      <c r="I130">
        <v>5</v>
      </c>
      <c r="J130">
        <v>19703</v>
      </c>
      <c r="K130" t="s">
        <v>25</v>
      </c>
      <c r="L130" t="s">
        <v>30</v>
      </c>
      <c r="M130" t="s">
        <v>285</v>
      </c>
      <c r="N130">
        <v>98515</v>
      </c>
    </row>
    <row r="131" spans="1:14" x14ac:dyDescent="0.2">
      <c r="A131">
        <v>1156</v>
      </c>
      <c r="B131" s="1">
        <v>45830</v>
      </c>
      <c r="C131" t="s">
        <v>114</v>
      </c>
      <c r="D131" t="s">
        <v>250</v>
      </c>
      <c r="E131" t="s">
        <v>77</v>
      </c>
      <c r="F131" t="s">
        <v>15</v>
      </c>
      <c r="G131" t="s">
        <v>68</v>
      </c>
      <c r="H131" t="s">
        <v>69</v>
      </c>
      <c r="I131">
        <v>1</v>
      </c>
      <c r="J131">
        <v>201.49</v>
      </c>
      <c r="K131" t="s">
        <v>18</v>
      </c>
      <c r="L131" t="s">
        <v>30</v>
      </c>
      <c r="M131" t="s">
        <v>285</v>
      </c>
      <c r="N131">
        <v>201.49</v>
      </c>
    </row>
    <row r="132" spans="1:14" x14ac:dyDescent="0.2">
      <c r="A132">
        <v>1112</v>
      </c>
      <c r="B132" s="1">
        <v>45355</v>
      </c>
      <c r="C132" t="s">
        <v>26</v>
      </c>
      <c r="D132" t="s">
        <v>251</v>
      </c>
      <c r="E132" t="s">
        <v>116</v>
      </c>
      <c r="F132" t="s">
        <v>15</v>
      </c>
      <c r="G132" t="s">
        <v>41</v>
      </c>
      <c r="H132" t="s">
        <v>126</v>
      </c>
      <c r="I132">
        <v>2</v>
      </c>
      <c r="K132" t="s">
        <v>74</v>
      </c>
      <c r="L132" t="s">
        <v>19</v>
      </c>
      <c r="M132" t="s">
        <v>285</v>
      </c>
    </row>
    <row r="133" spans="1:14" x14ac:dyDescent="0.2">
      <c r="A133">
        <v>1084</v>
      </c>
      <c r="B133" s="1">
        <v>45535</v>
      </c>
      <c r="C133" t="s">
        <v>78</v>
      </c>
      <c r="D133" t="s">
        <v>252</v>
      </c>
      <c r="E133" t="s">
        <v>77</v>
      </c>
      <c r="F133" t="s">
        <v>15</v>
      </c>
      <c r="G133" t="s">
        <v>91</v>
      </c>
      <c r="H133" t="s">
        <v>120</v>
      </c>
      <c r="I133">
        <v>3</v>
      </c>
      <c r="J133">
        <v>200.64</v>
      </c>
      <c r="K133" t="s">
        <v>74</v>
      </c>
      <c r="L133" t="s">
        <v>71</v>
      </c>
      <c r="M133" t="s">
        <v>285</v>
      </c>
      <c r="N133">
        <v>601.91999999999996</v>
      </c>
    </row>
    <row r="134" spans="1:14" x14ac:dyDescent="0.2">
      <c r="A134">
        <v>1105</v>
      </c>
      <c r="B134" s="1">
        <v>45634</v>
      </c>
      <c r="C134" t="s">
        <v>118</v>
      </c>
      <c r="D134" t="s">
        <v>192</v>
      </c>
      <c r="E134" t="s">
        <v>14</v>
      </c>
      <c r="F134" t="s">
        <v>15</v>
      </c>
      <c r="G134" t="s">
        <v>61</v>
      </c>
      <c r="H134" t="s">
        <v>117</v>
      </c>
      <c r="I134">
        <v>1</v>
      </c>
      <c r="K134" t="s">
        <v>53</v>
      </c>
      <c r="L134" t="s">
        <v>36</v>
      </c>
      <c r="M134" t="s">
        <v>285</v>
      </c>
    </row>
    <row r="135" spans="1:14" x14ac:dyDescent="0.2">
      <c r="A135">
        <v>1085</v>
      </c>
      <c r="B135" s="1">
        <v>45754</v>
      </c>
      <c r="C135" t="s">
        <v>98</v>
      </c>
      <c r="D135" t="s">
        <v>253</v>
      </c>
      <c r="E135" t="s">
        <v>32</v>
      </c>
      <c r="F135" t="s">
        <v>15</v>
      </c>
      <c r="G135" t="s">
        <v>91</v>
      </c>
      <c r="H135" t="s">
        <v>180</v>
      </c>
      <c r="I135">
        <v>3</v>
      </c>
      <c r="J135">
        <v>133.88999999999999</v>
      </c>
      <c r="K135" t="s">
        <v>53</v>
      </c>
      <c r="L135" t="s">
        <v>36</v>
      </c>
      <c r="M135" t="s">
        <v>285</v>
      </c>
      <c r="N135">
        <v>401.66999999999996</v>
      </c>
    </row>
    <row r="136" spans="1:14" x14ac:dyDescent="0.2">
      <c r="A136">
        <v>1101</v>
      </c>
      <c r="B136" s="1">
        <v>45622</v>
      </c>
      <c r="C136" t="s">
        <v>12</v>
      </c>
      <c r="D136" t="s">
        <v>254</v>
      </c>
      <c r="E136" t="s">
        <v>27</v>
      </c>
      <c r="F136" t="s">
        <v>15</v>
      </c>
      <c r="G136" t="s">
        <v>33</v>
      </c>
      <c r="H136" t="s">
        <v>246</v>
      </c>
      <c r="I136">
        <v>3</v>
      </c>
      <c r="J136">
        <v>1656</v>
      </c>
      <c r="K136" t="s">
        <v>18</v>
      </c>
      <c r="L136" t="s">
        <v>47</v>
      </c>
      <c r="M136" t="s">
        <v>285</v>
      </c>
      <c r="N136">
        <v>4968</v>
      </c>
    </row>
    <row r="137" spans="1:14" x14ac:dyDescent="0.2">
      <c r="A137">
        <v>1001</v>
      </c>
      <c r="B137" s="1">
        <v>45474</v>
      </c>
      <c r="C137" t="s">
        <v>129</v>
      </c>
      <c r="D137" t="s">
        <v>255</v>
      </c>
      <c r="E137" t="s">
        <v>32</v>
      </c>
      <c r="F137" t="s">
        <v>15</v>
      </c>
      <c r="G137" t="s">
        <v>33</v>
      </c>
      <c r="H137" t="s">
        <v>246</v>
      </c>
      <c r="I137">
        <v>2</v>
      </c>
      <c r="J137">
        <v>53.72</v>
      </c>
      <c r="K137" t="s">
        <v>35</v>
      </c>
      <c r="L137" t="s">
        <v>36</v>
      </c>
      <c r="M137" t="s">
        <v>285</v>
      </c>
      <c r="N137">
        <v>107.44</v>
      </c>
    </row>
    <row r="138" spans="1:14" x14ac:dyDescent="0.2">
      <c r="A138">
        <v>1182</v>
      </c>
      <c r="B138" s="1">
        <v>45367</v>
      </c>
      <c r="C138" t="s">
        <v>101</v>
      </c>
      <c r="D138" t="s">
        <v>256</v>
      </c>
      <c r="E138" t="s">
        <v>143</v>
      </c>
      <c r="F138" t="s">
        <v>15</v>
      </c>
      <c r="G138" t="s">
        <v>16</v>
      </c>
      <c r="H138" t="s">
        <v>135</v>
      </c>
      <c r="I138">
        <v>2</v>
      </c>
      <c r="J138">
        <v>148.54</v>
      </c>
      <c r="K138" t="s">
        <v>18</v>
      </c>
      <c r="L138" t="s">
        <v>19</v>
      </c>
      <c r="M138" t="s">
        <v>285</v>
      </c>
      <c r="N138">
        <v>297.08</v>
      </c>
    </row>
    <row r="139" spans="1:14" x14ac:dyDescent="0.2">
      <c r="A139">
        <v>1034</v>
      </c>
      <c r="B139" s="1">
        <v>45685</v>
      </c>
      <c r="C139" t="s">
        <v>37</v>
      </c>
      <c r="D139" t="s">
        <v>257</v>
      </c>
      <c r="E139" t="s">
        <v>143</v>
      </c>
      <c r="F139" t="s">
        <v>15</v>
      </c>
      <c r="G139" t="s">
        <v>51</v>
      </c>
      <c r="H139" t="s">
        <v>218</v>
      </c>
      <c r="I139">
        <v>4</v>
      </c>
      <c r="J139">
        <v>154.76</v>
      </c>
      <c r="K139" t="s">
        <v>53</v>
      </c>
      <c r="L139" t="s">
        <v>36</v>
      </c>
      <c r="M139" t="s">
        <v>285</v>
      </c>
      <c r="N139">
        <v>619.04</v>
      </c>
    </row>
    <row r="140" spans="1:14" x14ac:dyDescent="0.2">
      <c r="A140">
        <v>1027</v>
      </c>
      <c r="B140" s="1">
        <v>45650</v>
      </c>
      <c r="C140" t="s">
        <v>174</v>
      </c>
      <c r="D140" t="s">
        <v>258</v>
      </c>
      <c r="E140" t="s">
        <v>50</v>
      </c>
      <c r="F140" t="s">
        <v>15</v>
      </c>
      <c r="G140" t="s">
        <v>68</v>
      </c>
      <c r="H140" t="s">
        <v>236</v>
      </c>
      <c r="I140">
        <v>5</v>
      </c>
      <c r="J140">
        <v>176.81</v>
      </c>
      <c r="K140" t="s">
        <v>25</v>
      </c>
      <c r="L140" t="s">
        <v>36</v>
      </c>
      <c r="M140" t="s">
        <v>285</v>
      </c>
      <c r="N140">
        <v>884.05</v>
      </c>
    </row>
    <row r="141" spans="1:14" x14ac:dyDescent="0.2">
      <c r="A141">
        <v>1050</v>
      </c>
      <c r="B141" s="1">
        <v>45569</v>
      </c>
      <c r="C141" t="s">
        <v>37</v>
      </c>
      <c r="D141" t="s">
        <v>259</v>
      </c>
      <c r="E141" t="s">
        <v>103</v>
      </c>
      <c r="F141" t="s">
        <v>15</v>
      </c>
      <c r="G141" t="s">
        <v>91</v>
      </c>
      <c r="H141" t="s">
        <v>145</v>
      </c>
      <c r="I141">
        <v>1</v>
      </c>
      <c r="J141">
        <v>135.08000000000001</v>
      </c>
      <c r="K141" t="s">
        <v>18</v>
      </c>
      <c r="L141" t="s">
        <v>19</v>
      </c>
      <c r="M141" t="s">
        <v>285</v>
      </c>
      <c r="N141">
        <v>135.08000000000001</v>
      </c>
    </row>
    <row r="142" spans="1:14" x14ac:dyDescent="0.2">
      <c r="A142">
        <v>1157</v>
      </c>
      <c r="B142" s="1">
        <v>45824</v>
      </c>
      <c r="C142" t="s">
        <v>136</v>
      </c>
      <c r="D142" t="s">
        <v>260</v>
      </c>
      <c r="E142" t="s">
        <v>86</v>
      </c>
      <c r="F142" t="s">
        <v>15</v>
      </c>
      <c r="G142" t="s">
        <v>51</v>
      </c>
      <c r="H142" t="s">
        <v>65</v>
      </c>
      <c r="I142">
        <v>2</v>
      </c>
      <c r="J142">
        <v>139.16999999999999</v>
      </c>
      <c r="K142" t="s">
        <v>35</v>
      </c>
      <c r="L142" t="s">
        <v>19</v>
      </c>
      <c r="M142" t="s">
        <v>285</v>
      </c>
      <c r="N142">
        <v>278.33999999999997</v>
      </c>
    </row>
    <row r="143" spans="1:14" x14ac:dyDescent="0.2">
      <c r="A143">
        <v>1152</v>
      </c>
      <c r="B143" s="1">
        <v>45471</v>
      </c>
      <c r="C143" t="s">
        <v>78</v>
      </c>
      <c r="D143" t="s">
        <v>261</v>
      </c>
      <c r="E143" t="s">
        <v>45</v>
      </c>
      <c r="F143" t="s">
        <v>15</v>
      </c>
      <c r="G143" t="s">
        <v>33</v>
      </c>
      <c r="H143" t="s">
        <v>34</v>
      </c>
      <c r="I143">
        <v>5</v>
      </c>
      <c r="J143">
        <v>8.4499999999999993</v>
      </c>
      <c r="K143" t="s">
        <v>25</v>
      </c>
      <c r="L143" t="s">
        <v>19</v>
      </c>
      <c r="M143" t="s">
        <v>285</v>
      </c>
      <c r="N143">
        <v>42.25</v>
      </c>
    </row>
    <row r="144" spans="1:14" x14ac:dyDescent="0.2">
      <c r="A144">
        <v>1160</v>
      </c>
      <c r="B144" s="1">
        <v>45751</v>
      </c>
      <c r="C144" t="s">
        <v>157</v>
      </c>
      <c r="D144" t="s">
        <v>262</v>
      </c>
      <c r="E144" t="s">
        <v>60</v>
      </c>
      <c r="F144" t="s">
        <v>15</v>
      </c>
      <c r="G144" t="s">
        <v>91</v>
      </c>
      <c r="H144" t="s">
        <v>92</v>
      </c>
      <c r="I144">
        <v>3</v>
      </c>
      <c r="J144">
        <v>192.63</v>
      </c>
      <c r="K144" t="s">
        <v>35</v>
      </c>
      <c r="L144" t="s">
        <v>36</v>
      </c>
      <c r="M144" t="s">
        <v>285</v>
      </c>
      <c r="N144">
        <v>577.89</v>
      </c>
    </row>
    <row r="145" spans="1:14" x14ac:dyDescent="0.2">
      <c r="A145">
        <v>1063</v>
      </c>
      <c r="B145" s="1">
        <v>45788</v>
      </c>
      <c r="C145" t="s">
        <v>263</v>
      </c>
      <c r="D145" t="s">
        <v>264</v>
      </c>
      <c r="E145" t="s">
        <v>143</v>
      </c>
      <c r="F145" t="s">
        <v>15</v>
      </c>
      <c r="G145" t="s">
        <v>28</v>
      </c>
      <c r="H145" t="s">
        <v>128</v>
      </c>
      <c r="I145">
        <v>1</v>
      </c>
      <c r="J145">
        <v>1912</v>
      </c>
      <c r="K145" t="s">
        <v>35</v>
      </c>
      <c r="L145" t="s">
        <v>71</v>
      </c>
      <c r="M145" t="s">
        <v>285</v>
      </c>
      <c r="N145">
        <v>1912</v>
      </c>
    </row>
    <row r="146" spans="1:14" x14ac:dyDescent="0.2">
      <c r="A146">
        <v>1064</v>
      </c>
      <c r="B146" s="1">
        <v>45449</v>
      </c>
      <c r="C146" t="s">
        <v>129</v>
      </c>
      <c r="D146" t="s">
        <v>265</v>
      </c>
      <c r="E146" t="s">
        <v>138</v>
      </c>
      <c r="F146" t="s">
        <v>15</v>
      </c>
      <c r="G146" t="s">
        <v>33</v>
      </c>
      <c r="H146" t="s">
        <v>141</v>
      </c>
      <c r="I146">
        <v>5</v>
      </c>
      <c r="J146">
        <v>140.30000000000001</v>
      </c>
      <c r="K146" t="s">
        <v>74</v>
      </c>
      <c r="L146" t="s">
        <v>71</v>
      </c>
      <c r="M146" t="s">
        <v>285</v>
      </c>
      <c r="N146">
        <v>701.5</v>
      </c>
    </row>
    <row r="147" spans="1:14" x14ac:dyDescent="0.2">
      <c r="A147">
        <v>1092</v>
      </c>
      <c r="B147" s="1">
        <v>45571</v>
      </c>
      <c r="C147" t="s">
        <v>123</v>
      </c>
      <c r="D147" t="s">
        <v>266</v>
      </c>
      <c r="E147" t="s">
        <v>143</v>
      </c>
      <c r="F147" t="s">
        <v>15</v>
      </c>
      <c r="G147" t="s">
        <v>16</v>
      </c>
      <c r="H147" t="s">
        <v>17</v>
      </c>
      <c r="I147">
        <v>1</v>
      </c>
      <c r="J147">
        <v>141.4</v>
      </c>
      <c r="K147" t="s">
        <v>35</v>
      </c>
      <c r="L147" t="s">
        <v>47</v>
      </c>
      <c r="M147" t="s">
        <v>285</v>
      </c>
      <c r="N147">
        <v>141.4</v>
      </c>
    </row>
    <row r="148" spans="1:14" x14ac:dyDescent="0.2">
      <c r="A148">
        <v>1019</v>
      </c>
      <c r="B148" s="1">
        <v>45705</v>
      </c>
      <c r="C148" t="s">
        <v>123</v>
      </c>
      <c r="D148" t="s">
        <v>267</v>
      </c>
      <c r="E148" t="s">
        <v>60</v>
      </c>
      <c r="F148" t="s">
        <v>15</v>
      </c>
      <c r="G148" t="s">
        <v>61</v>
      </c>
      <c r="H148" t="s">
        <v>196</v>
      </c>
      <c r="I148">
        <v>1</v>
      </c>
      <c r="J148">
        <v>2463</v>
      </c>
      <c r="K148" t="s">
        <v>35</v>
      </c>
      <c r="L148" t="s">
        <v>71</v>
      </c>
      <c r="M148" t="s">
        <v>285</v>
      </c>
      <c r="N148">
        <v>2463</v>
      </c>
    </row>
    <row r="149" spans="1:14" x14ac:dyDescent="0.2">
      <c r="A149">
        <v>1123</v>
      </c>
      <c r="B149" s="1">
        <v>45664</v>
      </c>
      <c r="C149" t="s">
        <v>166</v>
      </c>
      <c r="D149" t="s">
        <v>268</v>
      </c>
      <c r="E149" t="s">
        <v>14</v>
      </c>
      <c r="F149" t="s">
        <v>15</v>
      </c>
      <c r="G149" t="s">
        <v>56</v>
      </c>
      <c r="H149" t="s">
        <v>73</v>
      </c>
      <c r="I149">
        <v>1</v>
      </c>
      <c r="J149">
        <v>72.27</v>
      </c>
      <c r="K149" t="s">
        <v>25</v>
      </c>
      <c r="L149" t="s">
        <v>71</v>
      </c>
      <c r="M149" t="s">
        <v>285</v>
      </c>
      <c r="N149">
        <v>72.27</v>
      </c>
    </row>
    <row r="150" spans="1:14" x14ac:dyDescent="0.2">
      <c r="A150">
        <v>1076</v>
      </c>
      <c r="B150" s="1">
        <v>45497</v>
      </c>
      <c r="C150" t="s">
        <v>54</v>
      </c>
      <c r="D150" t="s">
        <v>269</v>
      </c>
      <c r="E150" t="s">
        <v>138</v>
      </c>
      <c r="F150" t="s">
        <v>15</v>
      </c>
      <c r="G150" t="s">
        <v>91</v>
      </c>
      <c r="H150" t="s">
        <v>92</v>
      </c>
      <c r="I150">
        <v>1</v>
      </c>
      <c r="J150">
        <v>184.43</v>
      </c>
      <c r="K150" t="s">
        <v>25</v>
      </c>
      <c r="L150" t="s">
        <v>36</v>
      </c>
      <c r="M150" t="s">
        <v>285</v>
      </c>
      <c r="N150">
        <v>184.43</v>
      </c>
    </row>
    <row r="151" spans="1:14" x14ac:dyDescent="0.2">
      <c r="A151">
        <v>1107</v>
      </c>
      <c r="B151" s="1">
        <v>45725</v>
      </c>
      <c r="C151" t="s">
        <v>72</v>
      </c>
      <c r="D151" t="s">
        <v>270</v>
      </c>
      <c r="E151" t="s">
        <v>86</v>
      </c>
      <c r="F151" t="s">
        <v>15</v>
      </c>
      <c r="G151" t="s">
        <v>41</v>
      </c>
      <c r="H151" t="s">
        <v>126</v>
      </c>
      <c r="I151">
        <v>2</v>
      </c>
      <c r="J151">
        <v>97.29</v>
      </c>
      <c r="K151" t="s">
        <v>74</v>
      </c>
      <c r="L151" t="s">
        <v>71</v>
      </c>
      <c r="M151" t="s">
        <v>285</v>
      </c>
      <c r="N151">
        <v>194.58</v>
      </c>
    </row>
    <row r="152" spans="1:14" x14ac:dyDescent="0.2">
      <c r="A152">
        <v>1070</v>
      </c>
      <c r="B152" s="1">
        <v>45384</v>
      </c>
      <c r="C152" t="s">
        <v>26</v>
      </c>
      <c r="D152" t="s">
        <v>271</v>
      </c>
      <c r="E152" t="s">
        <v>86</v>
      </c>
      <c r="F152" t="s">
        <v>15</v>
      </c>
      <c r="G152" t="s">
        <v>28</v>
      </c>
      <c r="H152" t="s">
        <v>162</v>
      </c>
      <c r="I152">
        <v>1</v>
      </c>
      <c r="J152">
        <v>13.8</v>
      </c>
      <c r="K152" t="s">
        <v>35</v>
      </c>
      <c r="L152" t="s">
        <v>47</v>
      </c>
      <c r="M152" t="s">
        <v>285</v>
      </c>
      <c r="N152">
        <v>13.8</v>
      </c>
    </row>
    <row r="153" spans="1:14" x14ac:dyDescent="0.2">
      <c r="A153">
        <v>1111</v>
      </c>
      <c r="B153" s="1">
        <v>45345</v>
      </c>
      <c r="C153" t="s">
        <v>66</v>
      </c>
      <c r="D153" t="s">
        <v>272</v>
      </c>
      <c r="E153" t="s">
        <v>77</v>
      </c>
      <c r="F153" t="s">
        <v>15</v>
      </c>
      <c r="G153" t="s">
        <v>68</v>
      </c>
      <c r="H153" t="s">
        <v>87</v>
      </c>
      <c r="I153">
        <v>2</v>
      </c>
      <c r="J153">
        <v>10757</v>
      </c>
      <c r="K153" t="s">
        <v>25</v>
      </c>
      <c r="L153" t="s">
        <v>19</v>
      </c>
      <c r="M153" t="s">
        <v>285</v>
      </c>
      <c r="N153">
        <v>21514</v>
      </c>
    </row>
    <row r="154" spans="1:14" x14ac:dyDescent="0.2">
      <c r="A154">
        <v>1016</v>
      </c>
      <c r="B154" s="1">
        <v>45745</v>
      </c>
      <c r="C154" t="s">
        <v>114</v>
      </c>
      <c r="D154" t="s">
        <v>273</v>
      </c>
      <c r="E154" t="s">
        <v>116</v>
      </c>
      <c r="F154" t="s">
        <v>15</v>
      </c>
      <c r="G154" t="s">
        <v>33</v>
      </c>
      <c r="H154" t="s">
        <v>141</v>
      </c>
      <c r="I154">
        <v>4</v>
      </c>
      <c r="J154">
        <v>3934</v>
      </c>
      <c r="K154" t="s">
        <v>53</v>
      </c>
      <c r="L154" t="s">
        <v>30</v>
      </c>
      <c r="M154" t="s">
        <v>285</v>
      </c>
      <c r="N154">
        <v>15736</v>
      </c>
    </row>
    <row r="155" spans="1:14" x14ac:dyDescent="0.2">
      <c r="A155">
        <v>1037</v>
      </c>
      <c r="B155" s="1">
        <v>45619</v>
      </c>
      <c r="C155" t="s">
        <v>110</v>
      </c>
      <c r="D155" t="s">
        <v>274</v>
      </c>
      <c r="E155" t="s">
        <v>27</v>
      </c>
      <c r="F155" t="s">
        <v>15</v>
      </c>
      <c r="G155" t="s">
        <v>23</v>
      </c>
      <c r="H155" t="s">
        <v>155</v>
      </c>
      <c r="I155">
        <v>0</v>
      </c>
      <c r="J155">
        <v>63.62</v>
      </c>
      <c r="K155" t="s">
        <v>18</v>
      </c>
      <c r="L155" t="s">
        <v>30</v>
      </c>
      <c r="M155" t="s">
        <v>285</v>
      </c>
      <c r="N155">
        <v>0</v>
      </c>
    </row>
    <row r="156" spans="1:14" x14ac:dyDescent="0.2">
      <c r="A156">
        <v>1126</v>
      </c>
      <c r="B156" s="1">
        <v>45496</v>
      </c>
      <c r="C156" t="s">
        <v>114</v>
      </c>
      <c r="D156" t="s">
        <v>275</v>
      </c>
      <c r="E156" t="s">
        <v>45</v>
      </c>
      <c r="F156" t="s">
        <v>15</v>
      </c>
      <c r="G156" t="s">
        <v>61</v>
      </c>
      <c r="H156" t="s">
        <v>173</v>
      </c>
      <c r="I156">
        <v>0</v>
      </c>
      <c r="J156">
        <v>194.87</v>
      </c>
      <c r="K156" t="s">
        <v>25</v>
      </c>
      <c r="L156" t="s">
        <v>19</v>
      </c>
      <c r="M156" t="s">
        <v>285</v>
      </c>
      <c r="N156">
        <v>0</v>
      </c>
    </row>
    <row r="157" spans="1:14" x14ac:dyDescent="0.2">
      <c r="A157">
        <v>1183</v>
      </c>
      <c r="B157" s="1">
        <v>45396</v>
      </c>
      <c r="C157" t="s">
        <v>83</v>
      </c>
      <c r="D157" t="s">
        <v>276</v>
      </c>
      <c r="E157" t="s">
        <v>45</v>
      </c>
      <c r="F157" t="s">
        <v>15</v>
      </c>
      <c r="G157" t="s">
        <v>56</v>
      </c>
      <c r="H157" t="s">
        <v>199</v>
      </c>
      <c r="I157">
        <v>2</v>
      </c>
      <c r="J157">
        <v>31.1</v>
      </c>
      <c r="K157" t="s">
        <v>25</v>
      </c>
      <c r="L157" t="s">
        <v>36</v>
      </c>
      <c r="M157" t="s">
        <v>285</v>
      </c>
      <c r="N157">
        <v>62.2</v>
      </c>
    </row>
    <row r="158" spans="1:14" x14ac:dyDescent="0.2">
      <c r="A158">
        <v>1077</v>
      </c>
      <c r="B158" s="1">
        <v>45409</v>
      </c>
      <c r="C158" t="s">
        <v>78</v>
      </c>
      <c r="D158" t="s">
        <v>277</v>
      </c>
      <c r="E158" t="s">
        <v>22</v>
      </c>
      <c r="F158" t="s">
        <v>15</v>
      </c>
      <c r="G158" t="s">
        <v>61</v>
      </c>
      <c r="H158" t="s">
        <v>117</v>
      </c>
      <c r="I158">
        <v>5</v>
      </c>
      <c r="J158">
        <v>67.959999999999994</v>
      </c>
      <c r="K158" t="s">
        <v>53</v>
      </c>
      <c r="L158" t="s">
        <v>30</v>
      </c>
      <c r="M158" t="s">
        <v>285</v>
      </c>
      <c r="N158">
        <v>339.79999999999995</v>
      </c>
    </row>
    <row r="159" spans="1:14" x14ac:dyDescent="0.2">
      <c r="A159">
        <v>1068</v>
      </c>
      <c r="B159" s="1">
        <v>45394</v>
      </c>
      <c r="C159" t="s">
        <v>114</v>
      </c>
      <c r="D159" t="s">
        <v>278</v>
      </c>
      <c r="E159" t="s">
        <v>60</v>
      </c>
      <c r="F159" t="s">
        <v>15</v>
      </c>
      <c r="G159" t="s">
        <v>28</v>
      </c>
      <c r="H159" t="s">
        <v>139</v>
      </c>
      <c r="I159">
        <v>1</v>
      </c>
      <c r="J159">
        <v>35.93</v>
      </c>
      <c r="K159" t="s">
        <v>53</v>
      </c>
      <c r="L159" t="s">
        <v>71</v>
      </c>
      <c r="M159" t="s">
        <v>285</v>
      </c>
      <c r="N159">
        <v>35.93</v>
      </c>
    </row>
    <row r="160" spans="1:14" x14ac:dyDescent="0.2">
      <c r="A160">
        <v>1035</v>
      </c>
      <c r="B160" s="1">
        <v>45416</v>
      </c>
      <c r="C160" t="s">
        <v>39</v>
      </c>
      <c r="D160" t="s">
        <v>279</v>
      </c>
      <c r="E160" t="s">
        <v>143</v>
      </c>
      <c r="F160" t="s">
        <v>15</v>
      </c>
      <c r="G160" t="s">
        <v>23</v>
      </c>
      <c r="H160" t="s">
        <v>147</v>
      </c>
      <c r="I160">
        <v>2</v>
      </c>
      <c r="J160">
        <v>58.62</v>
      </c>
      <c r="K160" t="s">
        <v>18</v>
      </c>
      <c r="L160" t="s">
        <v>19</v>
      </c>
      <c r="M160" t="s">
        <v>285</v>
      </c>
      <c r="N160">
        <v>117.24</v>
      </c>
    </row>
    <row r="161" spans="1:14" x14ac:dyDescent="0.2">
      <c r="A161">
        <v>1021</v>
      </c>
      <c r="B161" s="1">
        <v>45367</v>
      </c>
      <c r="C161" t="s">
        <v>83</v>
      </c>
      <c r="D161" t="s">
        <v>184</v>
      </c>
      <c r="E161" t="s">
        <v>103</v>
      </c>
      <c r="F161" t="s">
        <v>15</v>
      </c>
      <c r="G161" t="s">
        <v>23</v>
      </c>
      <c r="H161" t="s">
        <v>155</v>
      </c>
      <c r="I161">
        <v>1</v>
      </c>
      <c r="J161">
        <v>189.21</v>
      </c>
      <c r="K161" t="s">
        <v>53</v>
      </c>
      <c r="L161" t="s">
        <v>19</v>
      </c>
      <c r="M161" t="s">
        <v>285</v>
      </c>
      <c r="N161">
        <v>189.21</v>
      </c>
    </row>
    <row r="162" spans="1:14" x14ac:dyDescent="0.2">
      <c r="A162">
        <v>1175</v>
      </c>
      <c r="B162" s="1">
        <v>45475</v>
      </c>
      <c r="C162" t="s">
        <v>129</v>
      </c>
      <c r="D162" t="s">
        <v>280</v>
      </c>
      <c r="E162" t="s">
        <v>22</v>
      </c>
      <c r="F162" t="s">
        <v>15</v>
      </c>
      <c r="G162" t="s">
        <v>68</v>
      </c>
      <c r="H162" t="s">
        <v>241</v>
      </c>
      <c r="I162">
        <v>1</v>
      </c>
      <c r="J162">
        <v>72.31</v>
      </c>
      <c r="K162" t="s">
        <v>25</v>
      </c>
      <c r="L162" t="s">
        <v>19</v>
      </c>
      <c r="M162" t="s">
        <v>285</v>
      </c>
      <c r="N162">
        <v>72.31</v>
      </c>
    </row>
    <row r="163" spans="1:14" x14ac:dyDescent="0.2">
      <c r="A163">
        <v>1043</v>
      </c>
      <c r="B163" s="1">
        <v>45463</v>
      </c>
      <c r="C163" t="s">
        <v>37</v>
      </c>
      <c r="D163" t="s">
        <v>281</v>
      </c>
      <c r="E163" t="s">
        <v>143</v>
      </c>
      <c r="F163" t="s">
        <v>15</v>
      </c>
      <c r="G163" t="s">
        <v>16</v>
      </c>
      <c r="H163" t="s">
        <v>132</v>
      </c>
      <c r="I163">
        <v>4</v>
      </c>
      <c r="J163">
        <v>169.02</v>
      </c>
      <c r="K163" t="s">
        <v>25</v>
      </c>
      <c r="L163" t="s">
        <v>36</v>
      </c>
      <c r="M163" t="s">
        <v>285</v>
      </c>
      <c r="N163">
        <v>676.08</v>
      </c>
    </row>
    <row r="164" spans="1:14" x14ac:dyDescent="0.2">
      <c r="A164">
        <v>1133</v>
      </c>
      <c r="B164" s="1">
        <v>45905</v>
      </c>
      <c r="C164" t="s">
        <v>93</v>
      </c>
      <c r="D164" t="s">
        <v>282</v>
      </c>
      <c r="E164" t="s">
        <v>32</v>
      </c>
      <c r="F164" t="s">
        <v>15</v>
      </c>
      <c r="G164" t="s">
        <v>91</v>
      </c>
      <c r="H164" t="s">
        <v>120</v>
      </c>
      <c r="I164">
        <v>1</v>
      </c>
      <c r="J164">
        <v>161.55000000000001</v>
      </c>
      <c r="K164" t="s">
        <v>35</v>
      </c>
      <c r="L164" t="s">
        <v>19</v>
      </c>
      <c r="M164" t="s">
        <v>285</v>
      </c>
      <c r="N164">
        <v>161.55000000000001</v>
      </c>
    </row>
    <row r="165" spans="1:14" x14ac:dyDescent="0.2">
      <c r="A165">
        <v>1146</v>
      </c>
      <c r="B165" s="1">
        <v>45696</v>
      </c>
      <c r="C165" t="s">
        <v>118</v>
      </c>
      <c r="D165" t="s">
        <v>283</v>
      </c>
      <c r="E165" t="s">
        <v>86</v>
      </c>
      <c r="F165" t="s">
        <v>15</v>
      </c>
      <c r="G165" t="s">
        <v>28</v>
      </c>
      <c r="H165" t="s">
        <v>29</v>
      </c>
      <c r="I165">
        <v>1</v>
      </c>
      <c r="J165">
        <v>233.95</v>
      </c>
      <c r="K165" t="s">
        <v>25</v>
      </c>
      <c r="L165" t="s">
        <v>71</v>
      </c>
      <c r="M165" t="s">
        <v>285</v>
      </c>
      <c r="N165">
        <v>233.95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F95E-A00D-354F-A9DE-7958FD4AB042}">
  <dimension ref="A1"/>
  <sheetViews>
    <sheetView workbookViewId="0">
      <selection activeCell="E14" sqref="E14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EB34B6-4E03-FD42-981C-5F3A26126D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Datos_Ventas_Online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José Caldas Chávez</dc:creator>
  <cp:lastModifiedBy>Emilio José Caldas Chávez</cp:lastModifiedBy>
  <dcterms:created xsi:type="dcterms:W3CDTF">2026-07-15T02:13:04Z</dcterms:created>
  <dcterms:modified xsi:type="dcterms:W3CDTF">2026-07-17T02:05:02Z</dcterms:modified>
</cp:coreProperties>
</file>